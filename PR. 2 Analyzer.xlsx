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896f212dc3464f98/Desktop/Excel/"/>
    </mc:Choice>
  </mc:AlternateContent>
  <xr:revisionPtr revIDLastSave="1301" documentId="13_ncr:1_{AA71A4D3-6387-4937-B5E8-15E52A4E3F58}" xr6:coauthVersionLast="47" xr6:coauthVersionMax="47" xr10:uidLastSave="{AA935D6D-B686-4E8F-BF1E-2FCF2798C019}"/>
  <bookViews>
    <workbookView xWindow="-108" yWindow="-108" windowWidth="23256" windowHeight="12456" activeTab="1" xr2:uid="{00000000-000D-0000-FFFF-FFFF00000000}"/>
  </bookViews>
  <sheets>
    <sheet name="Project Instructions" sheetId="1" r:id="rId1"/>
    <sheet name="Dashboard" sheetId="12" r:id="rId2"/>
    <sheet name="Descriptive-analysis" sheetId="11" r:id="rId3"/>
    <sheet name="Dataset" sheetId="2" r:id="rId4"/>
    <sheet name="Regression" sheetId="4" r:id="rId5"/>
  </sheets>
  <calcPr calcId="191029"/>
  <pivotCaches>
    <pivotCache cacheId="41"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4" i="12" l="1"/>
  <c r="J23" i="12"/>
  <c r="J22" i="12"/>
  <c r="J21" i="12"/>
  <c r="J20" i="12"/>
  <c r="O2" i="4"/>
  <c r="O3" i="4"/>
  <c r="O4" i="4"/>
  <c r="O5" i="4"/>
  <c r="L2" i="4"/>
  <c r="L3" i="4"/>
  <c r="M3" i="4" s="1"/>
  <c r="L4" i="4"/>
  <c r="M4" i="4" s="1"/>
  <c r="L5" i="4"/>
  <c r="M5" i="4" s="1"/>
  <c r="L6" i="4"/>
  <c r="L7" i="4"/>
  <c r="L8" i="4"/>
  <c r="M8" i="4" s="1"/>
  <c r="L9" i="4"/>
  <c r="L10" i="4"/>
  <c r="M10" i="4" s="1"/>
  <c r="L11" i="4"/>
  <c r="M11" i="4" s="1"/>
  <c r="L12" i="4"/>
  <c r="L13" i="4"/>
  <c r="L14" i="4"/>
  <c r="M13" i="4" l="1"/>
  <c r="M9" i="4"/>
  <c r="M7" i="4"/>
  <c r="M6" i="4"/>
  <c r="M14" i="4"/>
  <c r="M12" i="4"/>
  <c r="O7" i="2" l="1"/>
  <c r="O11" i="2" s="1"/>
  <c r="O2"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L28" i="2"/>
  <c r="L27" i="2"/>
  <c r="L26" i="2"/>
  <c r="L25" i="2"/>
  <c r="L24" i="2"/>
  <c r="L23" i="2"/>
  <c r="L22" i="2"/>
  <c r="L21" i="2"/>
  <c r="L20" i="2"/>
  <c r="L19" i="2"/>
  <c r="L18" i="2"/>
  <c r="L17" i="2"/>
  <c r="L16" i="2"/>
  <c r="L15" i="2"/>
  <c r="L14" i="2"/>
  <c r="L13" i="2"/>
  <c r="L12" i="2"/>
  <c r="L11" i="2"/>
  <c r="L10" i="2"/>
  <c r="L9" i="2"/>
  <c r="L8" i="2"/>
  <c r="L7" i="2"/>
  <c r="L6" i="2"/>
  <c r="L5" i="2"/>
  <c r="L4" i="2"/>
  <c r="L3" i="2"/>
  <c r="L2" i="2"/>
  <c r="M7" i="2" l="1"/>
  <c r="M8" i="2"/>
  <c r="M9" i="2"/>
  <c r="M18" i="2"/>
  <c r="M19" i="2"/>
  <c r="M21" i="2"/>
  <c r="M20" i="2"/>
  <c r="M16" i="2"/>
  <c r="M22" i="2"/>
  <c r="M23" i="2"/>
  <c r="M24" i="2"/>
  <c r="M17" i="2"/>
  <c r="M13" i="2"/>
  <c r="M5" i="2"/>
  <c r="M25" i="2"/>
  <c r="M26" i="2"/>
  <c r="M4" i="2"/>
  <c r="M27" i="2"/>
  <c r="M6" i="2"/>
  <c r="M28" i="2"/>
  <c r="M15" i="2"/>
  <c r="M12" i="2"/>
  <c r="M10" i="2"/>
  <c r="M11" i="2"/>
  <c r="M14" i="2"/>
  <c r="M2" i="2"/>
  <c r="M3" i="2"/>
</calcChain>
</file>

<file path=xl/sharedStrings.xml><?xml version="1.0" encoding="utf-8"?>
<sst xmlns="http://schemas.openxmlformats.org/spreadsheetml/2006/main" count="958" uniqueCount="142">
  <si>
    <t>Customer_ID</t>
  </si>
  <si>
    <t>PR. 2 Analyzer</t>
  </si>
  <si>
    <t>Customer_Name</t>
  </si>
  <si>
    <t>Region</t>
  </si>
  <si>
    <t>Product_Category</t>
  </si>
  <si>
    <t>Sales</t>
  </si>
  <si>
    <t>Quantity</t>
  </si>
  <si>
    <t>Discount</t>
  </si>
  <si>
    <t>Order_Date</t>
  </si>
  <si>
    <t>Profit</t>
  </si>
  <si>
    <t>CUST019</t>
  </si>
  <si>
    <t>James Davis</t>
  </si>
  <si>
    <t>West</t>
  </si>
  <si>
    <t>Books</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</si>
  <si>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</si>
  <si>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</si>
  <si>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</si>
  <si>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</si>
  <si>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</si>
  <si>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</si>
  <si>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</si>
  <si>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</si>
  <si>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</si>
  <si>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</si>
  <si>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</si>
  <si>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</si>
  <si>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</si>
  <si>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</si>
  <si>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</si>
  <si>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</si>
  <si>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</si>
  <si>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</si>
  <si>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</si>
  <si>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</si>
  <si>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</si>
  <si>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</si>
  <si>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</si>
  <si>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</si>
  <si>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</si>
  <si>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</si>
  <si>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</si>
  <si>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</si>
  <si>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</si>
  <si>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</si>
  <si>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</si>
  <si>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</si>
  <si>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</si>
  <si>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</si>
  <si>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</si>
  <si>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</si>
  <si>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</si>
  <si>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</si>
  <si>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</si>
  <si>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</si>
  <si>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</si>
  <si>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</si>
  <si>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</si>
  <si>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</si>
  <si>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</si>
  <si>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</si>
  <si>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</si>
  <si>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</si>
  <si>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</si>
  <si>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</si>
  <si>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</si>
  <si>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</si>
  <si>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</si>
  <si>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</si>
  <si>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</si>
  <si>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</si>
  <si>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</si>
  <si>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</si>
  <si>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</si>
  <si>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</si>
  <si>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</si>
  <si>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</si>
  <si>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</si>
  <si>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</si>
  <si>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Total_sales per Customer</t>
  </si>
  <si>
    <t>Rank per Customer</t>
  </si>
  <si>
    <t>Unique_customer</t>
  </si>
  <si>
    <t>sales</t>
  </si>
  <si>
    <t>discount</t>
  </si>
  <si>
    <t>PROFIT</t>
  </si>
  <si>
    <t>predicted_profit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</si>
  <si>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</si>
  <si>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</si>
  <si>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</si>
  <si>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</si>
  <si>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</si>
  <si>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</si>
  <si>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</si>
  <si>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</si>
  <si>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</si>
  <si>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</si>
  <si>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</si>
  <si>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</si>
  <si>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</si>
  <si>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</si>
  <si>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</si>
  <si>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</si>
  <si>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</si>
  <si>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</si>
  <si>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</si>
  <si>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</si>
  <si>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</si>
  <si>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</si>
  <si>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</si>
  <si>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</si>
  <si>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</si>
  <si>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Column1</t>
  </si>
  <si>
    <t>Column2</t>
  </si>
  <si>
    <t>Column3</t>
  </si>
  <si>
    <t>Column4</t>
  </si>
  <si>
    <t>Column5</t>
  </si>
  <si>
    <t>Column6</t>
  </si>
  <si>
    <t>Column7</t>
  </si>
  <si>
    <t>Column8</t>
  </si>
  <si>
    <t>Column9</t>
  </si>
  <si>
    <t>Mean</t>
  </si>
  <si>
    <t>Median</t>
  </si>
  <si>
    <t>Mode</t>
  </si>
  <si>
    <t>Standard Deviation</t>
  </si>
  <si>
    <t>Sample Variance</t>
  </si>
  <si>
    <t>Kurtosis</t>
  </si>
  <si>
    <t>Skewness</t>
  </si>
  <si>
    <t>Range</t>
  </si>
  <si>
    <t>Minimum</t>
  </si>
  <si>
    <t>Maximum</t>
  </si>
  <si>
    <t>Sum</t>
  </si>
  <si>
    <t>Count</t>
  </si>
  <si>
    <t>Largest(1)</t>
  </si>
  <si>
    <t>Smallest(1)</t>
  </si>
  <si>
    <t>Confidence Level(95.0%)</t>
  </si>
  <si>
    <t>Row Labels</t>
  </si>
  <si>
    <t>Grand Total</t>
  </si>
  <si>
    <t>Sum of Sales</t>
  </si>
  <si>
    <t>Months</t>
  </si>
  <si>
    <t>growth</t>
  </si>
  <si>
    <t>HighValue Customers</t>
  </si>
  <si>
    <t>Column Labels</t>
  </si>
  <si>
    <t>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</si>
</sst>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14009]dd/mm/yyyy;@"/>
    <numFmt numFmtId="168" formatCode="mmmm/yyyy"/>
  </numFmts>
  <fonts count="14" x14ac:knownFonts="1">
    <font>
      <sz val="11"/>
      <color theme="1"/>
      <name val="Calibri"/>
      <scheme val="minor"/>
    </font>
    <font>
      <sz val="11"/>
      <color theme="1"/>
      <name val="Calibri"/>
      <family val="2"/>
      <scheme val="minor"/>
    </font>
    <font>
      <sz val="11"/>
      <color theme="1"/>
      <name val="Calibri"/>
      <family val="2"/>
      <scheme val="minor"/>
    </font>
    <font>
      <b/>
      <sz val="11"/>
      <color theme="1"/>
      <name val="Calibri"/>
      <scheme val="minor"/>
    </font>
    <font>
      <b/>
      <sz val="11"/>
      <color theme="1"/>
      <name val="Calibri"/>
    </font>
    <font>
      <sz val="11"/>
      <color theme="1"/>
      <name val="Calibri"/>
    </font>
    <font>
      <sz val="11"/>
      <color theme="1"/>
      <name val="Calibri"/>
      <scheme val="minor"/>
    </font>
    <font>
      <b/>
      <sz val="11"/>
      <color rgb="FF38761D"/>
      <name val="Calibri"/>
    </font>
    <font>
      <sz val="11"/>
      <color rgb="FF38761D"/>
      <name val="Calibri"/>
    </font>
    <font>
      <b/>
      <sz val="11"/>
      <color theme="1"/>
      <name val="Calibri"/>
      <family val="2"/>
      <scheme val="minor"/>
    </font>
    <font>
      <i/>
      <sz val="11"/>
      <color theme="1"/>
      <name val="Calibri"/>
      <family val="2"/>
      <scheme val="minor"/>
    </font>
    <font>
      <sz val="8"/>
      <name val="Calibri"/>
      <family val="2"/>
      <scheme val="minor"/>
    </font>
    <font>
      <b/>
      <sz val="18"/>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FFF2CC"/>
        <bgColor rgb="FFFFF2CC"/>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3">
    <xf numFmtId="0" fontId="0" fillId="0" borderId="0" xfId="0"/>
    <xf numFmtId="0" fontId="3" fillId="0" borderId="0" xfId="0" applyFont="1"/>
    <xf numFmtId="0" fontId="4" fillId="2" borderId="1" xfId="0" applyFont="1" applyFill="1" applyBorder="1" applyAlignment="1">
      <alignment horizontal="center"/>
    </xf>
    <xf numFmtId="0" fontId="5" fillId="0" borderId="0" xfId="0" applyFont="1"/>
    <xf numFmtId="0" fontId="6" fillId="0" borderId="0" xfId="0" applyFont="1"/>
    <xf numFmtId="0" fontId="9" fillId="0" borderId="0" xfId="0" applyFont="1"/>
    <xf numFmtId="0" fontId="9" fillId="0" borderId="2" xfId="0" applyFont="1" applyBorder="1"/>
    <xf numFmtId="0" fontId="2" fillId="0" borderId="2" xfId="0" applyFont="1" applyBorder="1"/>
    <xf numFmtId="9" fontId="0" fillId="0" borderId="2" xfId="0" applyNumberFormat="1" applyBorder="1"/>
    <xf numFmtId="0" fontId="0" fillId="0" borderId="2" xfId="0" applyBorder="1"/>
    <xf numFmtId="9" fontId="0" fillId="0" borderId="2" xfId="0" applyNumberFormat="1" applyBorder="1" applyAlignment="1">
      <alignment horizontal="right" vertical="center"/>
    </xf>
    <xf numFmtId="0" fontId="0" fillId="0" borderId="2" xfId="0" applyBorder="1" applyAlignment="1">
      <alignment horizontal="right" vertical="center"/>
    </xf>
    <xf numFmtId="0" fontId="9" fillId="0" borderId="2" xfId="0" applyFont="1" applyBorder="1" applyAlignment="1">
      <alignment horizontal="right" vertical="center"/>
    </xf>
    <xf numFmtId="0" fontId="5" fillId="0" borderId="1" xfId="0" applyFont="1" applyBorder="1" applyAlignment="1">
      <alignment wrapText="1"/>
    </xf>
    <xf numFmtId="0" fontId="0" fillId="0" borderId="0" xfId="0" applyFill="1" applyBorder="1" applyAlignment="1"/>
    <xf numFmtId="0" fontId="0" fillId="0" borderId="3" xfId="0" applyFill="1" applyBorder="1" applyAlignment="1"/>
    <xf numFmtId="0" fontId="10" fillId="0" borderId="4" xfId="0" applyFont="1" applyFill="1" applyBorder="1" applyAlignment="1">
      <alignment horizontal="center"/>
    </xf>
    <xf numFmtId="0" fontId="10" fillId="0" borderId="4" xfId="0" applyFont="1" applyFill="1" applyBorder="1" applyAlignment="1">
      <alignment horizontal="centerContinuous"/>
    </xf>
    <xf numFmtId="0" fontId="1" fillId="0" borderId="0" xfId="0" applyFont="1"/>
    <xf numFmtId="0" fontId="10" fillId="0" borderId="5" xfId="0" applyFont="1" applyFill="1" applyBorder="1" applyAlignment="1">
      <alignment horizontal="centerContinuous" vertical="center"/>
    </xf>
    <xf numFmtId="0" fontId="0" fillId="0" borderId="5" xfId="0" applyFill="1" applyBorder="1" applyAlignment="1"/>
    <xf numFmtId="0" fontId="0" fillId="0" borderId="5" xfId="0" applyFill="1" applyBorder="1" applyAlignment="1">
      <alignment horizontal="right"/>
    </xf>
    <xf numFmtId="0" fontId="10" fillId="0" borderId="6" xfId="0" applyFont="1" applyFill="1" applyBorder="1" applyAlignment="1">
      <alignment horizontal="centerContinuous" vertical="center"/>
    </xf>
    <xf numFmtId="0" fontId="0" fillId="0" borderId="6" xfId="0" applyFill="1" applyBorder="1" applyAlignment="1"/>
    <xf numFmtId="0" fontId="0" fillId="0" borderId="6" xfId="0" applyFill="1" applyBorder="1" applyAlignment="1">
      <alignment horizontal="right"/>
    </xf>
    <xf numFmtId="0" fontId="10" fillId="0" borderId="7" xfId="0" applyFont="1" applyFill="1" applyBorder="1" applyAlignment="1">
      <alignment horizontal="centerContinuous" vertical="center"/>
    </xf>
    <xf numFmtId="0" fontId="10" fillId="0" borderId="8" xfId="0" applyFont="1" applyFill="1" applyBorder="1" applyAlignment="1">
      <alignment horizontal="centerContinuous" vertical="center"/>
    </xf>
    <xf numFmtId="0" fontId="0" fillId="0" borderId="9" xfId="0" applyFill="1" applyBorder="1" applyAlignment="1">
      <alignment horizontal="right"/>
    </xf>
    <xf numFmtId="0" fontId="0" fillId="0" borderId="10" xfId="0" applyFill="1" applyBorder="1" applyAlignment="1">
      <alignment horizontal="right"/>
    </xf>
    <xf numFmtId="0" fontId="10" fillId="0" borderId="5" xfId="0" applyFont="1" applyFill="1" applyBorder="1" applyAlignment="1">
      <alignment horizontal="centerContinuous"/>
    </xf>
    <xf numFmtId="0" fontId="10" fillId="0" borderId="6" xfId="0" applyFont="1" applyFill="1" applyBorder="1" applyAlignment="1">
      <alignment horizontal="centerContinuous"/>
    </xf>
    <xf numFmtId="0" fontId="10" fillId="0" borderId="7" xfId="0" applyFont="1" applyFill="1" applyBorder="1" applyAlignment="1">
      <alignment horizontal="centerContinuous"/>
    </xf>
    <xf numFmtId="0" fontId="10" fillId="0" borderId="8" xfId="0" applyFont="1" applyFill="1" applyBorder="1" applyAlignment="1">
      <alignment horizontal="centerContinuous"/>
    </xf>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8" fontId="0" fillId="0" borderId="2" xfId="0" applyNumberFormat="1" applyBorder="1" applyAlignment="1">
      <alignment horizontal="right"/>
    </xf>
    <xf numFmtId="0" fontId="0" fillId="0" borderId="2" xfId="0" applyBorder="1" applyAlignment="1">
      <alignment horizontal="right"/>
    </xf>
    <xf numFmtId="0" fontId="9" fillId="0" borderId="2" xfId="0" applyFont="1" applyBorder="1" applyAlignment="1">
      <alignment horizontal="right"/>
    </xf>
    <xf numFmtId="10" fontId="0" fillId="0" borderId="2" xfId="0" applyNumberFormat="1" applyBorder="1"/>
    <xf numFmtId="0" fontId="12" fillId="0" borderId="2" xfId="0" applyFont="1" applyBorder="1"/>
    <xf numFmtId="0" fontId="13" fillId="0" borderId="2" xfId="0" applyFont="1" applyBorder="1"/>
  </cellXfs>
  <cellStyles count="1">
    <cellStyle name="Normal" xfId="0" builtinId="0"/>
  </cellStyles>
  <dxfs count="28">
    <dxf>
      <fill>
        <gradientFill degree="90">
          <stop position="0">
            <color theme="0"/>
          </stop>
          <stop position="1">
            <color theme="4"/>
          </stop>
        </gradientFill>
      </fil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bottom style="medium">
          <color indexed="64"/>
        </bottom>
      </border>
    </dxf>
    <dxf>
      <numFmt numFmtId="166" formatCode="[$-14009]dd/mm/yyyy;@"/>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bottom"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strike val="0"/>
        <condense val="0"/>
        <extend val="0"/>
        <outline val="0"/>
        <shadow val="0"/>
        <u val="none"/>
        <vertAlign val="baseline"/>
        <sz val="11"/>
        <color theme="1"/>
        <name val="Calibri"/>
        <family val="2"/>
        <scheme val="minor"/>
      </font>
      <fill>
        <patternFill patternType="none">
          <fgColor indexed="64"/>
          <bgColor indexed="65"/>
        </patternFill>
      </fill>
      <alignment horizontal="centerContinuous" vertical="center" textRotation="0" wrapText="0" indent="0" justifyLastLine="0" shrinkToFit="0" readingOrder="0"/>
      <border diagonalUp="0" diagonalDown="0" outline="0">
        <left style="thin">
          <color indexed="64"/>
        </left>
        <right style="thin">
          <color indexed="64"/>
        </right>
        <top/>
        <bottom/>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47979518108519"/>
          <c:y val="0.17302229370718905"/>
          <c:w val="0.70876657946971988"/>
          <c:h val="0.53081485285353824"/>
        </c:manualLayout>
      </c:layout>
      <c:lineChart>
        <c:grouping val="stacke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3"/>
              <c:pt idx="0">
                <c:v>2024 Apr</c:v>
              </c:pt>
              <c:pt idx="1">
                <c:v>2024 May</c:v>
              </c:pt>
              <c:pt idx="2">
                <c:v>2024 Jun</c:v>
              </c:pt>
              <c:pt idx="3">
                <c:v>2024 Jul</c:v>
              </c:pt>
              <c:pt idx="4">
                <c:v>2024 Aug</c:v>
              </c:pt>
              <c:pt idx="5">
                <c:v>2024 Sep</c:v>
              </c:pt>
              <c:pt idx="6">
                <c:v>2024 Oct</c:v>
              </c:pt>
              <c:pt idx="7">
                <c:v>2024 Nov</c:v>
              </c:pt>
              <c:pt idx="8">
                <c:v>2024 Dec</c:v>
              </c:pt>
              <c:pt idx="9">
                <c:v>2025 Jan</c:v>
              </c:pt>
              <c:pt idx="10">
                <c:v>2025 Feb</c:v>
              </c:pt>
              <c:pt idx="11">
                <c:v>2025 Mar</c:v>
              </c:pt>
              <c:pt idx="12">
                <c:v>2025 Apr</c:v>
              </c:pt>
            </c:strLit>
          </c:cat>
          <c:val>
            <c:numLit>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Lit>
          </c:val>
          <c:smooth val="0"/>
          <c:extLst>
            <c:ext xmlns:c16="http://schemas.microsoft.com/office/drawing/2014/chart" uri="{C3380CC4-5D6E-409C-BE32-E72D297353CC}">
              <c16:uniqueId val="{00000000-7AB7-4404-8C8C-A78381A3A2C7}"/>
            </c:ext>
          </c:extLst>
        </c:ser>
        <c:dLbls>
          <c:showLegendKey val="0"/>
          <c:showVal val="0"/>
          <c:showCatName val="0"/>
          <c:showSerName val="0"/>
          <c:showPercent val="0"/>
          <c:showBubbleSize val="0"/>
        </c:dLbls>
        <c:marker val="1"/>
        <c:smooth val="0"/>
        <c:axId val="1336892415"/>
        <c:axId val="584988623"/>
      </c:lineChart>
      <c:catAx>
        <c:axId val="133689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88623"/>
        <c:crosses val="autoZero"/>
        <c:auto val="1"/>
        <c:lblAlgn val="ctr"/>
        <c:lblOffset val="100"/>
        <c:noMultiLvlLbl val="0"/>
      </c:catAx>
      <c:valAx>
        <c:axId val="58498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892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Sales by Product_Category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92038495188101E-2"/>
          <c:y val="0.11050707203266256"/>
          <c:w val="0.86486351706036746"/>
          <c:h val="0.53774387576552929"/>
        </c:manualLayout>
      </c:layout>
      <c:barChart>
        <c:barDir val="col"/>
        <c:grouping val="clustered"/>
        <c:varyColors val="0"/>
        <c:ser>
          <c:idx val="0"/>
          <c:order val="0"/>
          <c:tx>
            <c:v>Total</c:v>
          </c:tx>
          <c:spPr>
            <a:solidFill>
              <a:schemeClr val="accent2"/>
            </a:solidFill>
            <a:ln>
              <a:noFill/>
            </a:ln>
            <a:effectLst/>
          </c:spPr>
          <c:invertIfNegative val="0"/>
          <c:cat>
            <c:strLit>
              <c:ptCount val="5"/>
              <c:pt idx="0">
                <c:v>Books</c:v>
              </c:pt>
              <c:pt idx="1">
                <c:v>Clothing</c:v>
              </c:pt>
              <c:pt idx="2">
                <c:v>Electronics</c:v>
              </c:pt>
              <c:pt idx="3">
                <c:v>Furniture</c:v>
              </c:pt>
              <c:pt idx="4">
                <c:v>Office Supplies</c:v>
              </c:pt>
            </c:strLit>
          </c:cat>
          <c:val>
            <c:numLit>
              <c:formatCode>General</c:formatCode>
              <c:ptCount val="5"/>
              <c:pt idx="0">
                <c:v>47002.460000000006</c:v>
              </c:pt>
              <c:pt idx="1">
                <c:v>41927.589999999989</c:v>
              </c:pt>
              <c:pt idx="2">
                <c:v>41044.000000000007</c:v>
              </c:pt>
              <c:pt idx="3">
                <c:v>36612.89</c:v>
              </c:pt>
              <c:pt idx="4">
                <c:v>28630.819999999992</c:v>
              </c:pt>
            </c:numLit>
          </c:val>
          <c:extLst>
            <c:ext xmlns:c16="http://schemas.microsoft.com/office/drawing/2014/chart" uri="{C3380CC4-5D6E-409C-BE32-E72D297353CC}">
              <c16:uniqueId val="{00000000-A982-4A93-A8D1-051BD69A1138}"/>
            </c:ext>
          </c:extLst>
        </c:ser>
        <c:dLbls>
          <c:showLegendKey val="0"/>
          <c:showVal val="0"/>
          <c:showCatName val="0"/>
          <c:showSerName val="0"/>
          <c:showPercent val="0"/>
          <c:showBubbleSize val="0"/>
        </c:dLbls>
        <c:gapWidth val="219"/>
        <c:overlap val="-27"/>
        <c:axId val="1100624031"/>
        <c:axId val="584989583"/>
      </c:barChart>
      <c:catAx>
        <c:axId val="110062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989583"/>
        <c:crosses val="autoZero"/>
        <c:auto val="1"/>
        <c:lblAlgn val="ctr"/>
        <c:lblOffset val="100"/>
        <c:noMultiLvlLbl val="0"/>
      </c:catAx>
      <c:valAx>
        <c:axId val="584989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240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Lit>
              <c:ptCount val="5"/>
              <c:pt idx="0">
                <c:v>Central</c:v>
              </c:pt>
              <c:pt idx="1">
                <c:v>East</c:v>
              </c:pt>
              <c:pt idx="2">
                <c:v>North</c:v>
              </c:pt>
              <c:pt idx="3">
                <c:v>South</c:v>
              </c:pt>
              <c:pt idx="4">
                <c:v>West</c:v>
              </c:pt>
            </c:strLit>
          </c:cat>
          <c:val>
            <c:numLit>
              <c:formatCode>General</c:formatCode>
              <c:ptCount val="5"/>
              <c:pt idx="0">
                <c:v>43468.33</c:v>
              </c:pt>
              <c:pt idx="1">
                <c:v>32441.64</c:v>
              </c:pt>
              <c:pt idx="2">
                <c:v>34975.42</c:v>
              </c:pt>
              <c:pt idx="3">
                <c:v>40248.79</c:v>
              </c:pt>
              <c:pt idx="4">
                <c:v>44083.58</c:v>
              </c:pt>
            </c:numLit>
          </c:val>
          <c:extLst>
            <c:ext xmlns:c16="http://schemas.microsoft.com/office/drawing/2014/chart" uri="{C3380CC4-5D6E-409C-BE32-E72D297353CC}">
              <c16:uniqueId val="{00000000-42BA-4BD6-86FF-26623EB996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525780</xdr:colOff>
      <xdr:row>2</xdr:row>
      <xdr:rowOff>0</xdr:rowOff>
    </xdr:from>
    <xdr:to>
      <xdr:col>8</xdr:col>
      <xdr:colOff>0</xdr:colOff>
      <xdr:row>16</xdr:row>
      <xdr:rowOff>60960</xdr:rowOff>
    </xdr:to>
    <xdr:graphicFrame macro="">
      <xdr:nvGraphicFramePr>
        <xdr:cNvPr id="2" name="Chart 1">
          <a:extLst>
            <a:ext uri="{FF2B5EF4-FFF2-40B4-BE49-F238E27FC236}">
              <a16:creationId xmlns:a16="http://schemas.microsoft.com/office/drawing/2014/main" id="{7BF41947-3F90-FEAF-FDF6-5BB2E1AD3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518160</xdr:colOff>
      <xdr:row>17</xdr:row>
      <xdr:rowOff>53340</xdr:rowOff>
    </xdr:from>
    <xdr:to>
      <xdr:col>8</xdr:col>
      <xdr:colOff>53340</xdr:colOff>
      <xdr:row>31</xdr:row>
      <xdr:rowOff>99060</xdr:rowOff>
    </xdr:to>
    <xdr:graphicFrame macro="">
      <xdr:nvGraphicFramePr>
        <xdr:cNvPr id="3" name="Chart 2">
          <a:extLst>
            <a:ext uri="{FF2B5EF4-FFF2-40B4-BE49-F238E27FC236}">
              <a16:creationId xmlns:a16="http://schemas.microsoft.com/office/drawing/2014/main" id="{EF3B71D8-D58D-41E5-BA7B-D2E12CE0B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259080</xdr:colOff>
      <xdr:row>1</xdr:row>
      <xdr:rowOff>167640</xdr:rowOff>
    </xdr:from>
    <xdr:to>
      <xdr:col>13</xdr:col>
      <xdr:colOff>266700</xdr:colOff>
      <xdr:row>16</xdr:row>
      <xdr:rowOff>53340</xdr:rowOff>
    </xdr:to>
    <xdr:graphicFrame macro="">
      <xdr:nvGraphicFramePr>
        <xdr:cNvPr id="4" name="Chart 3">
          <a:extLst>
            <a:ext uri="{FF2B5EF4-FFF2-40B4-BE49-F238E27FC236}">
              <a16:creationId xmlns:a16="http://schemas.microsoft.com/office/drawing/2014/main" id="{1384AB84-9CC4-810D-6477-4BFA9F5D5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tel" refreshedDate="46259.052117361112" createdVersion="8" refreshedVersion="8" minRefreshableVersion="3" recordCount="200" xr:uid="{9DB702D9-8F08-4881-898A-06272FD2D1AA}">
  <cacheSource type="worksheet">
    <worksheetSource name="Table2"/>
  </cacheSource>
  <cacheFields count="12">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6">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247.53600000000003" maxValue="1538.9280000000001"/>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x v="0"/>
    <n v="828.87199999999996"/>
  </r>
  <r>
    <s v="CUST012"/>
    <s v="Robert Anderson"/>
    <x v="0"/>
    <x v="1"/>
    <n v="1101.28"/>
    <n v="3"/>
    <n v="0.2"/>
    <x v="1"/>
    <n v="881.024"/>
  </r>
  <r>
    <s v="CUST017"/>
    <s v="James Taylor"/>
    <x v="1"/>
    <x v="0"/>
    <n v="713.34"/>
    <n v="17"/>
    <n v="0"/>
    <x v="2"/>
    <n v="713.34"/>
  </r>
  <r>
    <s v="CUST005"/>
    <s v="Robert Anderson"/>
    <x v="2"/>
    <x v="2"/>
    <n v="760.93"/>
    <n v="4"/>
    <n v="0.15"/>
    <x v="2"/>
    <n v="646.79049999999995"/>
  </r>
  <r>
    <s v="CUST030"/>
    <s v="James Wilson"/>
    <x v="3"/>
    <x v="0"/>
    <n v="847"/>
    <n v="12"/>
    <n v="0.2"/>
    <x v="3"/>
    <n v="677.6"/>
  </r>
  <r>
    <s v="CUST007"/>
    <s v="Michael Anderson"/>
    <x v="3"/>
    <x v="3"/>
    <n v="965.64"/>
    <n v="8"/>
    <n v="0.1"/>
    <x v="4"/>
    <n v="869.07600000000002"/>
  </r>
  <r>
    <s v="CUST001"/>
    <s v="Linda Wilson"/>
    <x v="0"/>
    <x v="2"/>
    <n v="1317.53"/>
    <n v="12"/>
    <n v="0.05"/>
    <x v="4"/>
    <n v="1251.6534999999999"/>
  </r>
  <r>
    <s v="CUST026"/>
    <s v="Mary Davis"/>
    <x v="1"/>
    <x v="3"/>
    <n v="1074.47"/>
    <n v="6"/>
    <n v="0.2"/>
    <x v="5"/>
    <n v="859.57600000000002"/>
  </r>
  <r>
    <s v="CUST009"/>
    <s v="Linda Jackson"/>
    <x v="4"/>
    <x v="0"/>
    <n v="501.54"/>
    <n v="11"/>
    <n v="0.05"/>
    <x v="5"/>
    <n v="476.46300000000002"/>
  </r>
  <r>
    <s v="CUST010"/>
    <s v="David Thomas"/>
    <x v="4"/>
    <x v="1"/>
    <n v="737.31"/>
    <n v="2"/>
    <n v="0.05"/>
    <x v="5"/>
    <n v="700.44449999999995"/>
  </r>
  <r>
    <s v="CUST014"/>
    <s v="Emma Davis"/>
    <x v="0"/>
    <x v="4"/>
    <n v="1572.82"/>
    <n v="6"/>
    <n v="0.05"/>
    <x v="6"/>
    <n v="1494.1789999999999"/>
  </r>
  <r>
    <s v="CUST014"/>
    <s v="David Thomas"/>
    <x v="4"/>
    <x v="0"/>
    <n v="1343.13"/>
    <n v="14"/>
    <n v="0.15"/>
    <x v="7"/>
    <n v="1141.6605"/>
  </r>
  <r>
    <s v="CUST007"/>
    <s v="Michael Anderson"/>
    <x v="4"/>
    <x v="0"/>
    <n v="1191.58"/>
    <n v="14"/>
    <n v="0.05"/>
    <x v="8"/>
    <n v="1132.001"/>
  </r>
  <r>
    <s v="CUST023"/>
    <s v="Robert Anderson"/>
    <x v="0"/>
    <x v="3"/>
    <n v="822.28"/>
    <n v="7"/>
    <n v="0.05"/>
    <x v="8"/>
    <n v="781.16599999999994"/>
  </r>
  <r>
    <s v="CUST029"/>
    <s v="David Smith"/>
    <x v="3"/>
    <x v="3"/>
    <n v="521.66999999999996"/>
    <n v="15"/>
    <n v="0.15"/>
    <x v="9"/>
    <n v="443.41949999999997"/>
  </r>
  <r>
    <s v="CUST005"/>
    <s v="Sarah Anderson"/>
    <x v="2"/>
    <x v="2"/>
    <n v="1502.93"/>
    <n v="14"/>
    <n v="0.2"/>
    <x v="10"/>
    <n v="1202.3440000000001"/>
  </r>
  <r>
    <s v="CUST008"/>
    <s v="Robert Anderson"/>
    <x v="2"/>
    <x v="0"/>
    <n v="877.58"/>
    <n v="10"/>
    <n v="0.15"/>
    <x v="11"/>
    <n v="745.94299999999998"/>
  </r>
  <r>
    <s v="CUST001"/>
    <s v="Lisa Thomas"/>
    <x v="0"/>
    <x v="0"/>
    <n v="636.70000000000005"/>
    <n v="4"/>
    <n v="0.2"/>
    <x v="11"/>
    <n v="509.36000000000007"/>
  </r>
  <r>
    <s v="CUST006"/>
    <s v="Mary Jackson"/>
    <x v="0"/>
    <x v="0"/>
    <n v="1506.14"/>
    <n v="13"/>
    <n v="0.2"/>
    <x v="12"/>
    <n v="1204.912"/>
  </r>
  <r>
    <s v="CUST026"/>
    <s v="Mary Davis"/>
    <x v="4"/>
    <x v="2"/>
    <n v="645.02"/>
    <n v="4"/>
    <n v="0"/>
    <x v="13"/>
    <n v="645.02"/>
  </r>
  <r>
    <s v="CUST007"/>
    <s v="Lisa Davis"/>
    <x v="2"/>
    <x v="1"/>
    <n v="953.3"/>
    <n v="11"/>
    <n v="0"/>
    <x v="14"/>
    <n v="953.3"/>
  </r>
  <r>
    <s v="CUST022"/>
    <s v="Robert Anderson"/>
    <x v="3"/>
    <x v="2"/>
    <n v="388.56"/>
    <n v="14"/>
    <n v="0.15"/>
    <x v="15"/>
    <n v="330.27600000000001"/>
  </r>
  <r>
    <s v="CUST019"/>
    <s v="Mary Davis"/>
    <x v="0"/>
    <x v="0"/>
    <n v="743.17"/>
    <n v="9"/>
    <n v="0"/>
    <x v="15"/>
    <n v="743.17"/>
  </r>
  <r>
    <s v="CUST023"/>
    <s v="Mary Davis"/>
    <x v="4"/>
    <x v="2"/>
    <n v="706.37"/>
    <n v="6"/>
    <n v="0"/>
    <x v="15"/>
    <n v="706.37"/>
  </r>
  <r>
    <s v="CUST012"/>
    <s v="Mary Davis"/>
    <x v="4"/>
    <x v="4"/>
    <n v="925.31"/>
    <n v="8"/>
    <n v="0.1"/>
    <x v="16"/>
    <n v="832.779"/>
  </r>
  <r>
    <s v="CUST010"/>
    <s v="Linda Brown"/>
    <x v="2"/>
    <x v="2"/>
    <n v="1173.1199999999999"/>
    <n v="18"/>
    <n v="0"/>
    <x v="16"/>
    <n v="1173.1199999999999"/>
  </r>
  <r>
    <s v="CUST030"/>
    <s v="John Brown"/>
    <x v="3"/>
    <x v="3"/>
    <n v="675.54"/>
    <n v="17"/>
    <n v="0"/>
    <x v="17"/>
    <n v="675.54"/>
  </r>
  <r>
    <s v="CUST007"/>
    <s v="Robert Anderson"/>
    <x v="4"/>
    <x v="0"/>
    <n v="939.09"/>
    <n v="2"/>
    <n v="0.05"/>
    <x v="18"/>
    <n v="892.13549999999998"/>
  </r>
  <r>
    <s v="CUST028"/>
    <s v="Linda Taylor"/>
    <x v="1"/>
    <x v="4"/>
    <n v="983.34"/>
    <n v="19"/>
    <n v="0.1"/>
    <x v="19"/>
    <n v="885.00600000000009"/>
  </r>
  <r>
    <s v="CUST028"/>
    <s v="James Wilson"/>
    <x v="2"/>
    <x v="2"/>
    <n v="801.21"/>
    <n v="3"/>
    <n v="0.2"/>
    <x v="19"/>
    <n v="640.96800000000007"/>
  </r>
  <r>
    <s v="CUST025"/>
    <s v="David Brown"/>
    <x v="3"/>
    <x v="2"/>
    <n v="1450.71"/>
    <n v="5"/>
    <n v="0.1"/>
    <x v="20"/>
    <n v="1305.6390000000001"/>
  </r>
  <r>
    <s v="CUST022"/>
    <s v="David Davis"/>
    <x v="4"/>
    <x v="0"/>
    <n v="1023.21"/>
    <n v="18"/>
    <n v="0.05"/>
    <x v="21"/>
    <n v="972.04949999999997"/>
  </r>
  <r>
    <s v="CUST001"/>
    <s v="Mary Jackson"/>
    <x v="0"/>
    <x v="3"/>
    <n v="853.72"/>
    <n v="5"/>
    <n v="0.15"/>
    <x v="21"/>
    <n v="725.66200000000003"/>
  </r>
  <r>
    <s v="CUST021"/>
    <s v="Sarah Anderson"/>
    <x v="2"/>
    <x v="2"/>
    <n v="967.89"/>
    <n v="10"/>
    <n v="0.1"/>
    <x v="22"/>
    <n v="871.101"/>
  </r>
  <r>
    <s v="CUST015"/>
    <s v="Linda Taylor"/>
    <x v="3"/>
    <x v="4"/>
    <n v="1200.9000000000001"/>
    <n v="14"/>
    <n v="0.05"/>
    <x v="22"/>
    <n v="1140.855"/>
  </r>
  <r>
    <s v="CUST012"/>
    <s v="Michael Anderson"/>
    <x v="0"/>
    <x v="0"/>
    <n v="472.38"/>
    <n v="12"/>
    <n v="0.2"/>
    <x v="22"/>
    <n v="377.904"/>
  </r>
  <r>
    <s v="CUST019"/>
    <s v="David Brown"/>
    <x v="1"/>
    <x v="4"/>
    <n v="840.92"/>
    <n v="9"/>
    <n v="0.05"/>
    <x v="22"/>
    <n v="798.87399999999991"/>
  </r>
  <r>
    <s v="CUST028"/>
    <s v="Lisa Davis"/>
    <x v="4"/>
    <x v="3"/>
    <n v="1410.06"/>
    <n v="11"/>
    <n v="0.05"/>
    <x v="23"/>
    <n v="1339.5569999999998"/>
  </r>
  <r>
    <s v="CUST008"/>
    <s v="Mary Wilson"/>
    <x v="4"/>
    <x v="3"/>
    <n v="773.09"/>
    <n v="13"/>
    <n v="0.15"/>
    <x v="23"/>
    <n v="657.12649999999996"/>
  </r>
  <r>
    <s v="CUST016"/>
    <s v="Emma Wilson"/>
    <x v="1"/>
    <x v="0"/>
    <n v="580.42999999999995"/>
    <n v="19"/>
    <n v="0.15"/>
    <x v="24"/>
    <n v="493.36549999999994"/>
  </r>
  <r>
    <s v="CUST005"/>
    <s v="David Smith"/>
    <x v="2"/>
    <x v="0"/>
    <n v="1151.21"/>
    <n v="15"/>
    <n v="0.1"/>
    <x v="25"/>
    <n v="1036.0890000000002"/>
  </r>
  <r>
    <s v="CUST028"/>
    <s v="James Wilson"/>
    <x v="4"/>
    <x v="4"/>
    <n v="1025.98"/>
    <n v="5"/>
    <n v="0.2"/>
    <x v="26"/>
    <n v="820.78400000000011"/>
  </r>
  <r>
    <s v="CUST023"/>
    <s v="David Davis"/>
    <x v="1"/>
    <x v="4"/>
    <n v="556.41999999999996"/>
    <n v="11"/>
    <n v="0.15"/>
    <x v="26"/>
    <n v="472.95699999999994"/>
  </r>
  <r>
    <s v="CUST021"/>
    <s v="James Wilson"/>
    <x v="4"/>
    <x v="0"/>
    <n v="840.85"/>
    <n v="19"/>
    <n v="0.1"/>
    <x v="27"/>
    <n v="756.76499999999999"/>
  </r>
  <r>
    <s v="CUST026"/>
    <s v="Emma Wilson"/>
    <x v="3"/>
    <x v="3"/>
    <n v="1227.25"/>
    <n v="12"/>
    <n v="0.15"/>
    <x v="27"/>
    <n v="1043.1624999999999"/>
  </r>
  <r>
    <s v="CUST017"/>
    <s v="Linda Davis"/>
    <x v="4"/>
    <x v="2"/>
    <n v="856.7"/>
    <n v="2"/>
    <n v="0"/>
    <x v="28"/>
    <n v="856.7"/>
  </r>
  <r>
    <s v="CUST025"/>
    <s v="David Davis"/>
    <x v="4"/>
    <x v="4"/>
    <n v="1225.42"/>
    <n v="8"/>
    <n v="0.15"/>
    <x v="28"/>
    <n v="1041.607"/>
  </r>
  <r>
    <s v="CUST011"/>
    <s v="Mary Davis"/>
    <x v="3"/>
    <x v="4"/>
    <n v="1001.57"/>
    <n v="12"/>
    <n v="0"/>
    <x v="29"/>
    <n v="1001.57"/>
  </r>
  <r>
    <s v="CUST021"/>
    <s v="Michael Anderson"/>
    <x v="1"/>
    <x v="3"/>
    <n v="1186.8499999999999"/>
    <n v="19"/>
    <n v="0.2"/>
    <x v="30"/>
    <n v="949.48"/>
  </r>
  <r>
    <s v="CUST008"/>
    <s v="John Brown"/>
    <x v="2"/>
    <x v="2"/>
    <n v="775.45"/>
    <n v="6"/>
    <n v="0.1"/>
    <x v="31"/>
    <n v="697.90500000000009"/>
  </r>
  <r>
    <s v="CUST007"/>
    <s v="Linda Jackson"/>
    <x v="2"/>
    <x v="2"/>
    <n v="1021.47"/>
    <n v="6"/>
    <n v="0.05"/>
    <x v="32"/>
    <n v="970.39649999999995"/>
  </r>
  <r>
    <s v="CUST015"/>
    <s v="James Wilson"/>
    <x v="2"/>
    <x v="1"/>
    <n v="1226.6199999999999"/>
    <n v="7"/>
    <n v="0.1"/>
    <x v="33"/>
    <n v="1103.9579999999999"/>
  </r>
  <r>
    <s v="CUST030"/>
    <s v="Sarah Davis"/>
    <x v="2"/>
    <x v="3"/>
    <n v="1086.93"/>
    <n v="2"/>
    <n v="0"/>
    <x v="34"/>
    <n v="1086.93"/>
  </r>
  <r>
    <s v="CUST002"/>
    <s v="Lisa Davis"/>
    <x v="0"/>
    <x v="0"/>
    <n v="942.9"/>
    <n v="18"/>
    <n v="0.1"/>
    <x v="35"/>
    <n v="848.61"/>
  </r>
  <r>
    <s v="CUST009"/>
    <s v="Emma Davis"/>
    <x v="3"/>
    <x v="2"/>
    <n v="818.8"/>
    <n v="15"/>
    <n v="0.15"/>
    <x v="36"/>
    <n v="695.9799999999999"/>
  </r>
  <r>
    <s v="CUST005"/>
    <s v="Robert Anderson"/>
    <x v="2"/>
    <x v="3"/>
    <n v="919.04"/>
    <n v="10"/>
    <n v="0.2"/>
    <x v="36"/>
    <n v="735.23199999999997"/>
  </r>
  <r>
    <s v="CUST030"/>
    <s v="Emma Taylor"/>
    <x v="4"/>
    <x v="0"/>
    <n v="973.26"/>
    <n v="11"/>
    <n v="0"/>
    <x v="37"/>
    <n v="973.26"/>
  </r>
  <r>
    <s v="CUST029"/>
    <s v="Sarah Davis"/>
    <x v="3"/>
    <x v="2"/>
    <n v="741.61"/>
    <n v="1"/>
    <n v="0.2"/>
    <x v="38"/>
    <n v="593.28800000000001"/>
  </r>
  <r>
    <s v="CUST003"/>
    <s v="Emma Davis"/>
    <x v="3"/>
    <x v="0"/>
    <n v="1248.82"/>
    <n v="2"/>
    <n v="0.1"/>
    <x v="39"/>
    <n v="1123.9379999999999"/>
  </r>
  <r>
    <s v="CUST012"/>
    <s v="Mary Wilson"/>
    <x v="0"/>
    <x v="1"/>
    <n v="1360.36"/>
    <n v="17"/>
    <n v="0"/>
    <x v="39"/>
    <n v="1360.36"/>
  </r>
  <r>
    <s v="CUST021"/>
    <s v="Mary Davis"/>
    <x v="1"/>
    <x v="0"/>
    <n v="1383.3"/>
    <n v="8"/>
    <n v="0.1"/>
    <x v="40"/>
    <n v="1244.97"/>
  </r>
  <r>
    <s v="CUST010"/>
    <s v="David Brown"/>
    <x v="4"/>
    <x v="4"/>
    <n v="488.99"/>
    <n v="9"/>
    <n v="0"/>
    <x v="41"/>
    <n v="488.99"/>
  </r>
  <r>
    <s v="CUST026"/>
    <s v="Mary Davis"/>
    <x v="1"/>
    <x v="3"/>
    <n v="933.71"/>
    <n v="17"/>
    <n v="0.1"/>
    <x v="42"/>
    <n v="840.33900000000006"/>
  </r>
  <r>
    <s v="CUST003"/>
    <s v="James Davis"/>
    <x v="0"/>
    <x v="2"/>
    <n v="1005.53"/>
    <n v="17"/>
    <n v="0.2"/>
    <x v="42"/>
    <n v="804.42399999999998"/>
  </r>
  <r>
    <s v="CUST029"/>
    <s v="Emma Wilson"/>
    <x v="2"/>
    <x v="2"/>
    <n v="1100.0999999999999"/>
    <n v="5"/>
    <n v="0.05"/>
    <x v="43"/>
    <n v="1045.0949999999998"/>
  </r>
  <r>
    <s v="CUST003"/>
    <s v="James Wilson"/>
    <x v="3"/>
    <x v="3"/>
    <n v="1034.7"/>
    <n v="15"/>
    <n v="0.15"/>
    <x v="44"/>
    <n v="879.495"/>
  </r>
  <r>
    <s v="CUST002"/>
    <s v="Mary Davis"/>
    <x v="2"/>
    <x v="0"/>
    <n v="876.44"/>
    <n v="12"/>
    <n v="0.05"/>
    <x v="45"/>
    <n v="832.61800000000005"/>
  </r>
  <r>
    <s v="CUST020"/>
    <s v="David Brown"/>
    <x v="0"/>
    <x v="3"/>
    <n v="1371.34"/>
    <n v="5"/>
    <n v="0.05"/>
    <x v="45"/>
    <n v="1302.7729999999999"/>
  </r>
  <r>
    <s v="CUST021"/>
    <s v="Mary Jackson"/>
    <x v="3"/>
    <x v="2"/>
    <n v="1020.26"/>
    <n v="11"/>
    <n v="0.05"/>
    <x v="46"/>
    <n v="969.24699999999996"/>
  </r>
  <r>
    <s v="CUST008"/>
    <s v="James Davis"/>
    <x v="4"/>
    <x v="4"/>
    <n v="804.81"/>
    <n v="1"/>
    <n v="0.05"/>
    <x v="47"/>
    <n v="764.56949999999995"/>
  </r>
  <r>
    <s v="CUST030"/>
    <s v="David Brown"/>
    <x v="4"/>
    <x v="2"/>
    <n v="608.66"/>
    <n v="1"/>
    <n v="0.05"/>
    <x v="48"/>
    <n v="578.22699999999998"/>
  </r>
  <r>
    <s v="CUST020"/>
    <s v="Linda Moore"/>
    <x v="2"/>
    <x v="4"/>
    <n v="981.2"/>
    <n v="19"/>
    <n v="0"/>
    <x v="49"/>
    <n v="981.2"/>
  </r>
  <r>
    <s v="CUST024"/>
    <s v="David Brown"/>
    <x v="1"/>
    <x v="2"/>
    <n v="539.77"/>
    <n v="10"/>
    <n v="0.15"/>
    <x v="50"/>
    <n v="458.80449999999996"/>
  </r>
  <r>
    <s v="CUST012"/>
    <s v="David Anderson"/>
    <x v="2"/>
    <x v="0"/>
    <n v="804.45"/>
    <n v="5"/>
    <n v="0.2"/>
    <x v="50"/>
    <n v="643.56000000000006"/>
  </r>
  <r>
    <s v="CUST024"/>
    <s v="Emma Davis"/>
    <x v="0"/>
    <x v="2"/>
    <n v="1526.6"/>
    <n v="13"/>
    <n v="0.2"/>
    <x v="51"/>
    <n v="1221.28"/>
  </r>
  <r>
    <s v="CUST012"/>
    <s v="Linda Wilson"/>
    <x v="0"/>
    <x v="2"/>
    <n v="1215.26"/>
    <n v="5"/>
    <n v="0.15"/>
    <x v="52"/>
    <n v="1032.971"/>
  </r>
  <r>
    <s v="CUST005"/>
    <s v="Linda Taylor"/>
    <x v="4"/>
    <x v="3"/>
    <n v="1261.3399999999999"/>
    <n v="3"/>
    <n v="0"/>
    <x v="53"/>
    <n v="1261.3399999999999"/>
  </r>
  <r>
    <s v="CUST004"/>
    <s v="Lisa Thomas"/>
    <x v="3"/>
    <x v="3"/>
    <n v="518.07000000000005"/>
    <n v="7"/>
    <n v="0.05"/>
    <x v="54"/>
    <n v="492.16650000000004"/>
  </r>
  <r>
    <s v="CUST026"/>
    <s v="Linda Wilson"/>
    <x v="0"/>
    <x v="4"/>
    <n v="1111.3399999999999"/>
    <n v="1"/>
    <n v="0"/>
    <x v="55"/>
    <n v="1111.3399999999999"/>
  </r>
  <r>
    <s v="CUST030"/>
    <s v="Mary Davis"/>
    <x v="1"/>
    <x v="1"/>
    <n v="1291.47"/>
    <n v="18"/>
    <n v="0.1"/>
    <x v="56"/>
    <n v="1162.3230000000001"/>
  </r>
  <r>
    <s v="CUST007"/>
    <s v="David Brown"/>
    <x v="3"/>
    <x v="0"/>
    <n v="679.71"/>
    <n v="19"/>
    <n v="0"/>
    <x v="57"/>
    <n v="679.71"/>
  </r>
  <r>
    <s v="CUST020"/>
    <s v="Linda Jackson"/>
    <x v="1"/>
    <x v="3"/>
    <n v="1143.69"/>
    <n v="17"/>
    <n v="0"/>
    <x v="57"/>
    <n v="1143.69"/>
  </r>
  <r>
    <s v="CUST028"/>
    <s v="Linda Brown"/>
    <x v="4"/>
    <x v="2"/>
    <n v="790.08"/>
    <n v="7"/>
    <n v="0.1"/>
    <x v="58"/>
    <n v="711.072"/>
  </r>
  <r>
    <s v="CUST005"/>
    <s v="Lisa Davis"/>
    <x v="4"/>
    <x v="0"/>
    <n v="1070.68"/>
    <n v="7"/>
    <n v="0.05"/>
    <x v="58"/>
    <n v="1017.146"/>
  </r>
  <r>
    <s v="CUST015"/>
    <s v="David Thomas"/>
    <x v="0"/>
    <x v="1"/>
    <n v="1168.8900000000001"/>
    <n v="4"/>
    <n v="0.1"/>
    <x v="59"/>
    <n v="1052.0010000000002"/>
  </r>
  <r>
    <s v="CUST003"/>
    <s v="James Davis"/>
    <x v="2"/>
    <x v="2"/>
    <n v="1335.87"/>
    <n v="17"/>
    <n v="0"/>
    <x v="59"/>
    <n v="1335.87"/>
  </r>
  <r>
    <s v="CUST023"/>
    <s v="David Brown"/>
    <x v="1"/>
    <x v="3"/>
    <n v="873.7"/>
    <n v="9"/>
    <n v="0"/>
    <x v="60"/>
    <n v="873.7"/>
  </r>
  <r>
    <s v="CUST004"/>
    <s v="Sarah Davis"/>
    <x v="0"/>
    <x v="4"/>
    <n v="1443.98"/>
    <n v="19"/>
    <n v="0"/>
    <x v="61"/>
    <n v="1443.98"/>
  </r>
  <r>
    <s v="CUST023"/>
    <s v="James Wilson"/>
    <x v="1"/>
    <x v="4"/>
    <n v="1154.33"/>
    <n v="11"/>
    <n v="0.15"/>
    <x v="62"/>
    <n v="981.18049999999994"/>
  </r>
  <r>
    <s v="CUST022"/>
    <s v="Linda Brown"/>
    <x v="2"/>
    <x v="0"/>
    <n v="1264.49"/>
    <n v="16"/>
    <n v="0.05"/>
    <x v="62"/>
    <n v="1201.2655"/>
  </r>
  <r>
    <s v="CUST007"/>
    <s v="Emma Taylor"/>
    <x v="0"/>
    <x v="3"/>
    <n v="1101.55"/>
    <n v="4"/>
    <n v="0.1"/>
    <x v="63"/>
    <n v="991.39499999999998"/>
  </r>
  <r>
    <s v="CUST013"/>
    <s v="Robert Anderson"/>
    <x v="2"/>
    <x v="3"/>
    <n v="727.73"/>
    <n v="1"/>
    <n v="0.1"/>
    <x v="64"/>
    <n v="654.95699999999999"/>
  </r>
  <r>
    <s v="CUST027"/>
    <s v="Emma Davis"/>
    <x v="1"/>
    <x v="4"/>
    <n v="875.41"/>
    <n v="13"/>
    <n v="0.15"/>
    <x v="64"/>
    <n v="744.09849999999994"/>
  </r>
  <r>
    <s v="CUST003"/>
    <s v="James Wilson"/>
    <x v="0"/>
    <x v="2"/>
    <n v="1158.94"/>
    <n v="19"/>
    <n v="0.2"/>
    <x v="65"/>
    <n v="927.15200000000004"/>
  </r>
  <r>
    <s v="CUST018"/>
    <s v="Mary Jackson"/>
    <x v="2"/>
    <x v="0"/>
    <n v="966.3"/>
    <n v="2"/>
    <n v="0.15"/>
    <x v="66"/>
    <n v="821.3549999999999"/>
  </r>
  <r>
    <s v="CUST020"/>
    <s v="James Taylor"/>
    <x v="2"/>
    <x v="0"/>
    <n v="917.48"/>
    <n v="6"/>
    <n v="0"/>
    <x v="67"/>
    <n v="917.48"/>
  </r>
  <r>
    <s v="CUST029"/>
    <s v="Emma Wilson"/>
    <x v="0"/>
    <x v="3"/>
    <n v="1172.97"/>
    <n v="7"/>
    <n v="0.15"/>
    <x v="68"/>
    <n v="997.02449999999999"/>
  </r>
  <r>
    <s v="CUST021"/>
    <s v="James Wilson"/>
    <x v="3"/>
    <x v="1"/>
    <n v="1205.82"/>
    <n v="11"/>
    <n v="0.1"/>
    <x v="68"/>
    <n v="1085.2380000000001"/>
  </r>
  <r>
    <s v="CUST017"/>
    <s v="Sarah Davis"/>
    <x v="0"/>
    <x v="4"/>
    <n v="826.93"/>
    <n v="10"/>
    <n v="0.2"/>
    <x v="69"/>
    <n v="661.54399999999998"/>
  </r>
  <r>
    <s v="CUST003"/>
    <s v="James Wilson"/>
    <x v="4"/>
    <x v="1"/>
    <n v="902.19"/>
    <n v="12"/>
    <n v="0"/>
    <x v="69"/>
    <n v="902.19"/>
  </r>
  <r>
    <s v="CUST027"/>
    <s v="Emma Davis"/>
    <x v="3"/>
    <x v="0"/>
    <n v="585.97"/>
    <n v="17"/>
    <n v="0.1"/>
    <x v="70"/>
    <n v="527.37300000000005"/>
  </r>
  <r>
    <s v="CUST016"/>
    <s v="Michael Anderson"/>
    <x v="3"/>
    <x v="1"/>
    <n v="990.19"/>
    <n v="8"/>
    <n v="0.1"/>
    <x v="70"/>
    <n v="891.17100000000005"/>
  </r>
  <r>
    <s v="CUST008"/>
    <s v="David Davis"/>
    <x v="4"/>
    <x v="2"/>
    <n v="1014.09"/>
    <n v="13"/>
    <n v="0.2"/>
    <x v="71"/>
    <n v="811.27200000000005"/>
  </r>
  <r>
    <s v="CUST012"/>
    <s v="Lisa Davis"/>
    <x v="3"/>
    <x v="2"/>
    <n v="925.29"/>
    <n v="17"/>
    <n v="0"/>
    <x v="72"/>
    <n v="925.29"/>
  </r>
  <r>
    <s v="CUST025"/>
    <s v="Mary Jackson"/>
    <x v="1"/>
    <x v="3"/>
    <n v="1286.54"/>
    <n v="8"/>
    <n v="0"/>
    <x v="73"/>
    <n v="1286.54"/>
  </r>
  <r>
    <s v="CUST014"/>
    <s v="Sarah Davis"/>
    <x v="2"/>
    <x v="0"/>
    <n v="961.62"/>
    <n v="8"/>
    <n v="0.2"/>
    <x v="74"/>
    <n v="769.29600000000005"/>
  </r>
  <r>
    <s v="CUST008"/>
    <s v="James Wilson"/>
    <x v="1"/>
    <x v="0"/>
    <n v="1081.1400000000001"/>
    <n v="19"/>
    <n v="0.15"/>
    <x v="74"/>
    <n v="918.96900000000005"/>
  </r>
  <r>
    <s v="CUST015"/>
    <s v="James Wilson"/>
    <x v="0"/>
    <x v="1"/>
    <n v="1923.66"/>
    <n v="9"/>
    <n v="0.2"/>
    <x v="75"/>
    <n v="1538.9280000000001"/>
  </r>
  <r>
    <s v="CUST025"/>
    <s v="Emma Taylor"/>
    <x v="4"/>
    <x v="1"/>
    <n v="728.71"/>
    <n v="14"/>
    <n v="0.1"/>
    <x v="76"/>
    <n v="655.83900000000006"/>
  </r>
  <r>
    <s v="CUST019"/>
    <s v="Linda Jackson"/>
    <x v="4"/>
    <x v="1"/>
    <n v="1301.8900000000001"/>
    <n v="7"/>
    <n v="0.15"/>
    <x v="76"/>
    <n v="1106.6065000000001"/>
  </r>
  <r>
    <s v="CUST024"/>
    <s v="Emma Taylor"/>
    <x v="1"/>
    <x v="0"/>
    <n v="980.18"/>
    <n v="16"/>
    <n v="0.1"/>
    <x v="77"/>
    <n v="882.16199999999992"/>
  </r>
  <r>
    <s v="CUST027"/>
    <s v="James Wilson"/>
    <x v="0"/>
    <x v="1"/>
    <n v="697.57"/>
    <n v="17"/>
    <n v="0.1"/>
    <x v="78"/>
    <n v="627.8130000000001"/>
  </r>
  <r>
    <s v="CUST006"/>
    <s v="David Anderson"/>
    <x v="0"/>
    <x v="3"/>
    <n v="1193.6099999999999"/>
    <n v="1"/>
    <n v="0.15"/>
    <x v="78"/>
    <n v="1014.5684999999999"/>
  </r>
  <r>
    <s v="CUST009"/>
    <s v="Emma Davis"/>
    <x v="2"/>
    <x v="2"/>
    <n v="771.02"/>
    <n v="1"/>
    <n v="0"/>
    <x v="79"/>
    <n v="771.02"/>
  </r>
  <r>
    <s v="CUST003"/>
    <s v="Linda Moore"/>
    <x v="3"/>
    <x v="1"/>
    <n v="661.09"/>
    <n v="1"/>
    <n v="0.2"/>
    <x v="80"/>
    <n v="528.87200000000007"/>
  </r>
  <r>
    <s v="CUST012"/>
    <s v="David Brown"/>
    <x v="0"/>
    <x v="2"/>
    <n v="688.83"/>
    <n v="15"/>
    <n v="0"/>
    <x v="81"/>
    <n v="688.83"/>
  </r>
  <r>
    <s v="CUST013"/>
    <s v="Linda Wilson"/>
    <x v="4"/>
    <x v="0"/>
    <n v="1249.0999999999999"/>
    <n v="4"/>
    <n v="0.05"/>
    <x v="82"/>
    <n v="1186.6449999999998"/>
  </r>
  <r>
    <s v="CUST008"/>
    <s v="James Wilson"/>
    <x v="1"/>
    <x v="4"/>
    <n v="1014.22"/>
    <n v="14"/>
    <n v="0.05"/>
    <x v="83"/>
    <n v="963.50900000000001"/>
  </r>
  <r>
    <s v="CUST025"/>
    <s v="Lisa Davis"/>
    <x v="1"/>
    <x v="0"/>
    <n v="1010.58"/>
    <n v="2"/>
    <n v="0.15"/>
    <x v="84"/>
    <n v="858.99300000000005"/>
  </r>
  <r>
    <s v="CUST026"/>
    <s v="Mary Wilson"/>
    <x v="3"/>
    <x v="3"/>
    <n v="957.29"/>
    <n v="4"/>
    <n v="0.05"/>
    <x v="84"/>
    <n v="909.42549999999994"/>
  </r>
  <r>
    <s v="CUST001"/>
    <s v="Lisa Thomas"/>
    <x v="3"/>
    <x v="3"/>
    <n v="1077.92"/>
    <n v="3"/>
    <n v="0.05"/>
    <x v="85"/>
    <n v="1024.0240000000001"/>
  </r>
  <r>
    <s v="CUST028"/>
    <s v="Linda Brown"/>
    <x v="2"/>
    <x v="1"/>
    <n v="1163.01"/>
    <n v="5"/>
    <n v="0"/>
    <x v="86"/>
    <n v="1163.01"/>
  </r>
  <r>
    <s v="CUST025"/>
    <s v="Lisa Thomas"/>
    <x v="1"/>
    <x v="4"/>
    <n v="1014.56"/>
    <n v="10"/>
    <n v="0.1"/>
    <x v="87"/>
    <n v="913.10399999999993"/>
  </r>
  <r>
    <s v="CUST019"/>
    <s v="James Taylor"/>
    <x v="2"/>
    <x v="2"/>
    <n v="718.04"/>
    <n v="14"/>
    <n v="0"/>
    <x v="88"/>
    <n v="718.04"/>
  </r>
  <r>
    <s v="CUST004"/>
    <s v="James Taylor"/>
    <x v="4"/>
    <x v="1"/>
    <n v="1277.8499999999999"/>
    <n v="18"/>
    <n v="0.2"/>
    <x v="88"/>
    <n v="1022.28"/>
  </r>
  <r>
    <s v="CUST024"/>
    <s v="James Wilson"/>
    <x v="3"/>
    <x v="2"/>
    <n v="706.73"/>
    <n v="1"/>
    <n v="0.15"/>
    <x v="88"/>
    <n v="600.72050000000002"/>
  </r>
  <r>
    <s v="CUST002"/>
    <s v="Linda Brown"/>
    <x v="1"/>
    <x v="2"/>
    <n v="1410.59"/>
    <n v="15"/>
    <n v="0"/>
    <x v="89"/>
    <n v="1410.59"/>
  </r>
  <r>
    <s v="CUST009"/>
    <s v="Emma Wilson"/>
    <x v="2"/>
    <x v="3"/>
    <n v="1350.33"/>
    <n v="10"/>
    <n v="0"/>
    <x v="89"/>
    <n v="1350.33"/>
  </r>
  <r>
    <s v="CUST029"/>
    <s v="Lisa Thomas"/>
    <x v="1"/>
    <x v="2"/>
    <n v="919.18"/>
    <n v="4"/>
    <n v="0.15"/>
    <x v="89"/>
    <n v="781.30299999999988"/>
  </r>
  <r>
    <s v="CUST027"/>
    <s v="James Wilson"/>
    <x v="0"/>
    <x v="2"/>
    <n v="258.51"/>
    <n v="19"/>
    <n v="0"/>
    <x v="90"/>
    <n v="258.51"/>
  </r>
  <r>
    <s v="CUST011"/>
    <s v="Emma Wilson"/>
    <x v="1"/>
    <x v="0"/>
    <n v="1213.48"/>
    <n v="5"/>
    <n v="0.05"/>
    <x v="90"/>
    <n v="1152.806"/>
  </r>
  <r>
    <s v="CUST021"/>
    <s v="Emma Davis"/>
    <x v="4"/>
    <x v="0"/>
    <n v="1150.28"/>
    <n v="8"/>
    <n v="0.05"/>
    <x v="91"/>
    <n v="1092.7659999999998"/>
  </r>
  <r>
    <s v="CUST014"/>
    <s v="David Anderson"/>
    <x v="2"/>
    <x v="3"/>
    <n v="853.86"/>
    <n v="8"/>
    <n v="0.1"/>
    <x v="91"/>
    <n v="768.47400000000005"/>
  </r>
  <r>
    <s v="CUST018"/>
    <s v="Lisa Thomas"/>
    <x v="2"/>
    <x v="2"/>
    <n v="1061.04"/>
    <n v="1"/>
    <n v="0"/>
    <x v="92"/>
    <n v="1061.04"/>
  </r>
  <r>
    <s v="CUST001"/>
    <s v="Sarah Anderson"/>
    <x v="0"/>
    <x v="2"/>
    <n v="894.55"/>
    <n v="19"/>
    <n v="0.2"/>
    <x v="93"/>
    <n v="715.64"/>
  </r>
  <r>
    <s v="CUST007"/>
    <s v="Emma Davis"/>
    <x v="3"/>
    <x v="4"/>
    <n v="833.91"/>
    <n v="3"/>
    <n v="0.05"/>
    <x v="94"/>
    <n v="792.21449999999993"/>
  </r>
  <r>
    <s v="CUST015"/>
    <s v="David Anderson"/>
    <x v="0"/>
    <x v="3"/>
    <n v="820.19"/>
    <n v="4"/>
    <n v="0.2"/>
    <x v="95"/>
    <n v="656.15200000000004"/>
  </r>
  <r>
    <s v="CUST015"/>
    <s v="Emma Davis"/>
    <x v="4"/>
    <x v="2"/>
    <n v="511.74"/>
    <n v="8"/>
    <n v="0.05"/>
    <x v="96"/>
    <n v="486.15299999999996"/>
  </r>
  <r>
    <s v="CUST002"/>
    <s v="Emma Wilson"/>
    <x v="2"/>
    <x v="3"/>
    <n v="806.03"/>
    <n v="19"/>
    <n v="0.05"/>
    <x v="97"/>
    <n v="765.72849999999994"/>
  </r>
  <r>
    <s v="CUST001"/>
    <s v="Michael Anderson"/>
    <x v="4"/>
    <x v="3"/>
    <n v="1432.47"/>
    <n v="16"/>
    <n v="0.15"/>
    <x v="98"/>
    <n v="1217.5995"/>
  </r>
  <r>
    <s v="CUST027"/>
    <s v="Linda Wilson"/>
    <x v="4"/>
    <x v="2"/>
    <n v="1488.58"/>
    <n v="10"/>
    <n v="0.15"/>
    <x v="98"/>
    <n v="1265.2929999999999"/>
  </r>
  <r>
    <s v="CUST026"/>
    <s v="Emma Taylor"/>
    <x v="1"/>
    <x v="0"/>
    <n v="1231.26"/>
    <n v="9"/>
    <n v="0"/>
    <x v="99"/>
    <n v="1231.26"/>
  </r>
  <r>
    <s v="CUST026"/>
    <s v="Sarah Anderson"/>
    <x v="0"/>
    <x v="2"/>
    <n v="1161.67"/>
    <n v="19"/>
    <n v="0.2"/>
    <x v="100"/>
    <n v="929.33600000000013"/>
  </r>
  <r>
    <s v="CUST022"/>
    <s v="Lisa Thomas"/>
    <x v="4"/>
    <x v="4"/>
    <n v="388.23"/>
    <n v="16"/>
    <n v="0.05"/>
    <x v="101"/>
    <n v="368.81849999999997"/>
  </r>
  <r>
    <s v="CUST004"/>
    <s v="Mary Davis"/>
    <x v="3"/>
    <x v="1"/>
    <n v="1589.42"/>
    <n v="6"/>
    <n v="0.15"/>
    <x v="102"/>
    <n v="1351.0070000000001"/>
  </r>
  <r>
    <s v="CUST001"/>
    <s v="David Anderson"/>
    <x v="3"/>
    <x v="1"/>
    <n v="336.66"/>
    <n v="13"/>
    <n v="0.2"/>
    <x v="102"/>
    <n v="269.32800000000003"/>
  </r>
  <r>
    <s v="CUST022"/>
    <s v="James Wilson"/>
    <x v="0"/>
    <x v="0"/>
    <n v="1353.79"/>
    <n v="14"/>
    <n v="0.1"/>
    <x v="103"/>
    <n v="1218.4110000000001"/>
  </r>
  <r>
    <s v="CUST011"/>
    <s v="Linda Moore"/>
    <x v="4"/>
    <x v="1"/>
    <n v="662.61"/>
    <n v="11"/>
    <n v="0.05"/>
    <x v="104"/>
    <n v="629.47950000000003"/>
  </r>
  <r>
    <s v="CUST028"/>
    <s v="Lisa Davis"/>
    <x v="3"/>
    <x v="4"/>
    <n v="309.42"/>
    <n v="1"/>
    <n v="0.2"/>
    <x v="104"/>
    <n v="247.53600000000003"/>
  </r>
  <r>
    <s v="CUST011"/>
    <s v="Linda Wilson"/>
    <x v="3"/>
    <x v="0"/>
    <n v="884.63"/>
    <n v="18"/>
    <n v="0.1"/>
    <x v="105"/>
    <n v="796.16700000000003"/>
  </r>
  <r>
    <s v="CUST028"/>
    <s v="James Wilson"/>
    <x v="4"/>
    <x v="4"/>
    <n v="745.05"/>
    <n v="10"/>
    <n v="0.1"/>
    <x v="106"/>
    <n v="670.54499999999996"/>
  </r>
  <r>
    <s v="CUST016"/>
    <s v="James Taylor"/>
    <x v="2"/>
    <x v="1"/>
    <n v="870.23"/>
    <n v="5"/>
    <n v="0.05"/>
    <x v="106"/>
    <n v="826.71849999999995"/>
  </r>
  <r>
    <s v="CUST010"/>
    <s v="Linda Wilson"/>
    <x v="0"/>
    <x v="3"/>
    <n v="862.19"/>
    <n v="18"/>
    <n v="0.05"/>
    <x v="107"/>
    <n v="819.08050000000003"/>
  </r>
  <r>
    <s v="CUST013"/>
    <s v="Mary Wilson"/>
    <x v="3"/>
    <x v="1"/>
    <n v="1171.18"/>
    <n v="19"/>
    <n v="0.05"/>
    <x v="108"/>
    <n v="1112.6210000000001"/>
  </r>
  <r>
    <s v="CUST015"/>
    <s v="Robert Anderson"/>
    <x v="2"/>
    <x v="3"/>
    <n v="1054.56"/>
    <n v="11"/>
    <n v="0.1"/>
    <x v="109"/>
    <n v="949.10399999999993"/>
  </r>
  <r>
    <s v="CUST015"/>
    <s v="James Wilson"/>
    <x v="3"/>
    <x v="2"/>
    <n v="1681.21"/>
    <n v="5"/>
    <n v="0.2"/>
    <x v="110"/>
    <n v="1344.9680000000001"/>
  </r>
  <r>
    <s v="CUST015"/>
    <s v="David Thomas"/>
    <x v="0"/>
    <x v="1"/>
    <n v="379.77"/>
    <n v="9"/>
    <n v="0.05"/>
    <x v="111"/>
    <n v="360.78149999999999"/>
  </r>
  <r>
    <s v="CUST008"/>
    <s v="Lisa Thomas"/>
    <x v="4"/>
    <x v="1"/>
    <n v="1076.33"/>
    <n v="2"/>
    <n v="0.1"/>
    <x v="112"/>
    <n v="968.697"/>
  </r>
  <r>
    <s v="CUST008"/>
    <s v="Mary Davis"/>
    <x v="4"/>
    <x v="4"/>
    <n v="1250.71"/>
    <n v="7"/>
    <n v="0"/>
    <x v="112"/>
    <n v="1250.71"/>
  </r>
  <r>
    <s v="CUST023"/>
    <s v="James Taylor"/>
    <x v="2"/>
    <x v="1"/>
    <n v="1118.3399999999999"/>
    <n v="6"/>
    <n v="0.2"/>
    <x v="112"/>
    <n v="894.67200000000003"/>
  </r>
  <r>
    <s v="CUST024"/>
    <s v="Linda Taylor"/>
    <x v="3"/>
    <x v="1"/>
    <n v="1622.62"/>
    <n v="12"/>
    <n v="0.2"/>
    <x v="113"/>
    <n v="1298.096"/>
  </r>
  <r>
    <s v="CUST018"/>
    <s v="Lisa Davis"/>
    <x v="3"/>
    <x v="0"/>
    <n v="640.64"/>
    <n v="11"/>
    <n v="0.2"/>
    <x v="114"/>
    <n v="512.51200000000006"/>
  </r>
  <r>
    <s v="CUST030"/>
    <s v="Sarah Anderson"/>
    <x v="0"/>
    <x v="1"/>
    <n v="585.16"/>
    <n v="17"/>
    <n v="0.1"/>
    <x v="115"/>
    <n v="526.64400000000001"/>
  </r>
  <r>
    <s v="CUST030"/>
    <s v="Mary Davis"/>
    <x v="1"/>
    <x v="1"/>
    <n v="1109.98"/>
    <n v="5"/>
    <n v="0.2"/>
    <x v="116"/>
    <n v="887.98400000000004"/>
  </r>
  <r>
    <s v="CUST015"/>
    <s v="Lisa Thomas"/>
    <x v="1"/>
    <x v="0"/>
    <n v="1098.08"/>
    <n v="9"/>
    <n v="0.1"/>
    <x v="117"/>
    <n v="988.27199999999993"/>
  </r>
  <r>
    <s v="CUST002"/>
    <s v="Lisa Davis"/>
    <x v="0"/>
    <x v="4"/>
    <n v="827.25"/>
    <n v="7"/>
    <n v="0.1"/>
    <x v="118"/>
    <n v="744.52499999999998"/>
  </r>
  <r>
    <s v="CUST024"/>
    <s v="Linda Wilson"/>
    <x v="4"/>
    <x v="1"/>
    <n v="741.88"/>
    <n v="16"/>
    <n v="0.1"/>
    <x v="119"/>
    <n v="667.69200000000001"/>
  </r>
  <r>
    <s v="CUST004"/>
    <s v="James Davis"/>
    <x v="1"/>
    <x v="4"/>
    <n v="1311.26"/>
    <n v="6"/>
    <n v="0.1"/>
    <x v="120"/>
    <n v="1180.134"/>
  </r>
  <r>
    <s v="CUST004"/>
    <s v="Mary Davis"/>
    <x v="2"/>
    <x v="4"/>
    <n v="573.32000000000005"/>
    <n v="19"/>
    <n v="0.1"/>
    <x v="121"/>
    <n v="515.98800000000006"/>
  </r>
  <r>
    <s v="CUST028"/>
    <s v="James Wilson"/>
    <x v="0"/>
    <x v="2"/>
    <n v="1115.22"/>
    <n v="14"/>
    <n v="0.2"/>
    <x v="122"/>
    <n v="892.17600000000004"/>
  </r>
  <r>
    <s v="CUST012"/>
    <s v="Lisa Thomas"/>
    <x v="3"/>
    <x v="1"/>
    <n v="845.84"/>
    <n v="4"/>
    <n v="0"/>
    <x v="123"/>
    <n v="845.84"/>
  </r>
  <r>
    <s v="CUST026"/>
    <s v="David Brown"/>
    <x v="0"/>
    <x v="2"/>
    <n v="1029.8"/>
    <n v="3"/>
    <n v="0"/>
    <x v="124"/>
    <n v="1029.8"/>
  </r>
  <r>
    <s v="CUST009"/>
    <s v="Mary Davis"/>
    <x v="3"/>
    <x v="0"/>
    <n v="1189.83"/>
    <n v="2"/>
    <n v="0.2"/>
    <x v="125"/>
    <n v="951.86400000000003"/>
  </r>
  <r>
    <s v="CUST003"/>
    <s v="Sarah Anderson"/>
    <x v="2"/>
    <x v="0"/>
    <n v="704.28"/>
    <n v="15"/>
    <n v="0.2"/>
    <x v="126"/>
    <n v="563.42399999999998"/>
  </r>
  <r>
    <s v="CUST002"/>
    <s v="Mary Jackson"/>
    <x v="4"/>
    <x v="4"/>
    <n v="1618.22"/>
    <n v="12"/>
    <n v="0.2"/>
    <x v="126"/>
    <n v="1294.576"/>
  </r>
  <r>
    <s v="CUST013"/>
    <s v="Linda Taylor"/>
    <x v="4"/>
    <x v="0"/>
    <n v="1014.43"/>
    <n v="2"/>
    <n v="0.15"/>
    <x v="127"/>
    <n v="862.26549999999997"/>
  </r>
  <r>
    <s v="CUST018"/>
    <s v="Mary Davis"/>
    <x v="4"/>
    <x v="1"/>
    <n v="826.97"/>
    <n v="18"/>
    <n v="0.2"/>
    <x v="128"/>
    <n v="661.57600000000002"/>
  </r>
  <r>
    <s v="CUST017"/>
    <s v="Mary Davis"/>
    <x v="4"/>
    <x v="1"/>
    <n v="1022.23"/>
    <n v="8"/>
    <n v="0.1"/>
    <x v="129"/>
    <n v="920.00700000000006"/>
  </r>
  <r>
    <s v="CUST004"/>
    <s v="Linda Wilson"/>
    <x v="1"/>
    <x v="0"/>
    <n v="1099.69"/>
    <n v="6"/>
    <n v="0"/>
    <x v="130"/>
    <n v="1099.69"/>
  </r>
  <r>
    <s v="CUST028"/>
    <s v="Sarah Davis"/>
    <x v="3"/>
    <x v="0"/>
    <n v="710.52"/>
    <n v="8"/>
    <n v="0.1"/>
    <x v="131"/>
    <n v="639.46799999999996"/>
  </r>
  <r>
    <s v="CUST028"/>
    <s v="Mary Wilson"/>
    <x v="3"/>
    <x v="0"/>
    <n v="499.18"/>
    <n v="15"/>
    <n v="0.2"/>
    <x v="132"/>
    <n v="399.34400000000005"/>
  </r>
  <r>
    <s v="CUST014"/>
    <s v="Emma Davis"/>
    <x v="2"/>
    <x v="0"/>
    <n v="1064.19"/>
    <n v="18"/>
    <n v="0.05"/>
    <x v="133"/>
    <n v="1010.9805"/>
  </r>
  <r>
    <s v="CUST003"/>
    <s v="Emma Davis"/>
    <x v="1"/>
    <x v="4"/>
    <n v="438.76"/>
    <n v="18"/>
    <n v="0.05"/>
    <x v="134"/>
    <n v="416.82199999999995"/>
  </r>
  <r>
    <s v="CUST029"/>
    <s v="David Brown"/>
    <x v="0"/>
    <x v="1"/>
    <n v="864.98"/>
    <n v="2"/>
    <n v="0.05"/>
    <x v="135"/>
    <n v="821.73099999999999"/>
  </r>
  <r>
    <s v="CUST021"/>
    <s v="David Brown"/>
    <x v="0"/>
    <x v="3"/>
    <n v="984.93"/>
    <n v="14"/>
    <n v="0.2"/>
    <x v="136"/>
    <n v="787.94399999999996"/>
  </r>
  <r>
    <s v="CUST007"/>
    <s v="David Brown"/>
    <x v="0"/>
    <x v="1"/>
    <n v="1493.49"/>
    <n v="18"/>
    <n v="0"/>
    <x v="137"/>
    <n v="1493.49"/>
  </r>
  <r>
    <s v="CUST009"/>
    <s v="Linda Taylor"/>
    <x v="2"/>
    <x v="1"/>
    <n v="689.43"/>
    <n v="9"/>
    <n v="0.1"/>
    <x v="138"/>
    <n v="620.48699999999997"/>
  </r>
  <r>
    <s v="CUST023"/>
    <s v="Mary Wilson"/>
    <x v="2"/>
    <x v="1"/>
    <n v="682.24"/>
    <n v="1"/>
    <n v="0"/>
    <x v="139"/>
    <n v="682.24"/>
  </r>
  <r>
    <s v="CUST029"/>
    <s v="Michael Anderson"/>
    <x v="3"/>
    <x v="2"/>
    <n v="458.54"/>
    <n v="15"/>
    <n v="0.2"/>
    <x v="140"/>
    <n v="366.83200000000005"/>
  </r>
  <r>
    <s v="CUST009"/>
    <s v="Michael Anderson"/>
    <x v="2"/>
    <x v="3"/>
    <n v="1184.25"/>
    <n v="11"/>
    <n v="0.2"/>
    <x v="141"/>
    <n v="947.40000000000009"/>
  </r>
  <r>
    <s v="CUST007"/>
    <s v="James Davis"/>
    <x v="2"/>
    <x v="1"/>
    <n v="762.14"/>
    <n v="9"/>
    <n v="0"/>
    <x v="142"/>
    <n v="762.14"/>
  </r>
  <r>
    <s v="CUST030"/>
    <s v="Linda Taylor"/>
    <x v="3"/>
    <x v="0"/>
    <n v="750.71"/>
    <n v="10"/>
    <n v="0.15"/>
    <x v="142"/>
    <n v="638.10350000000005"/>
  </r>
  <r>
    <s v="CUST018"/>
    <s v="David Anderson"/>
    <x v="4"/>
    <x v="1"/>
    <n v="1456.94"/>
    <n v="14"/>
    <n v="0.05"/>
    <x v="143"/>
    <n v="1384.0930000000001"/>
  </r>
  <r>
    <s v="CUST008"/>
    <s v="Emma Wilson"/>
    <x v="1"/>
    <x v="3"/>
    <n v="1093.3800000000001"/>
    <n v="17"/>
    <n v="0.1"/>
    <x v="143"/>
    <n v="984.04200000000014"/>
  </r>
  <r>
    <s v="CUST014"/>
    <s v="Sarah Anderson"/>
    <x v="0"/>
    <x v="1"/>
    <n v="934.27"/>
    <n v="8"/>
    <n v="0.15"/>
    <x v="144"/>
    <n v="794.12950000000001"/>
  </r>
  <r>
    <s v="CUST024"/>
    <s v="David Thomas"/>
    <x v="4"/>
    <x v="1"/>
    <n v="1465.35"/>
    <n v="8"/>
    <n v="0.2"/>
    <x v="144"/>
    <n v="1172.28"/>
  </r>
  <r>
    <s v="CUST028"/>
    <s v="Robert Anderson"/>
    <x v="2"/>
    <x v="4"/>
    <n v="740.8"/>
    <n v="3"/>
    <n v="0"/>
    <x v="145"/>
    <n v="740.8"/>
  </r>
  <r>
    <s v="CUST015"/>
    <s v="Sarah Anderson"/>
    <x v="0"/>
    <x v="4"/>
    <n v="545.44000000000005"/>
    <n v="17"/>
    <n v="0"/>
    <x v="146"/>
    <n v="545.44000000000005"/>
  </r>
  <r>
    <s v="CUST010"/>
    <s v="David Thomas"/>
    <x v="1"/>
    <x v="0"/>
    <n v="997.61"/>
    <n v="8"/>
    <n v="0.05"/>
    <x v="146"/>
    <n v="947.72949999999992"/>
  </r>
  <r>
    <s v="CUST016"/>
    <s v="David Thomas"/>
    <x v="2"/>
    <x v="1"/>
    <n v="928.32"/>
    <n v="2"/>
    <n v="0.05"/>
    <x v="147"/>
    <n v="881.9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183CD8-B43E-40AD-9357-66EC5968EEFC}" name="PivotTable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H29" firstHeaderRow="1" firstDataRow="2" firstDataCol="1"/>
  <pivotFields count="12">
    <pivotField showAll="0"/>
    <pivotField showAll="0"/>
    <pivotField axis="axisCol"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6"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Fields count="1">
    <field x="2"/>
  </colFields>
  <colItems count="6">
    <i>
      <x/>
    </i>
    <i>
      <x v="1"/>
    </i>
    <i>
      <x v="2"/>
    </i>
    <i>
      <x v="3"/>
    </i>
    <i>
      <x v="4"/>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88B299-C6BC-4B40-81EB-BB5D84C7D1C7}" name="Table5" displayName="Table5" ref="A1:B19" totalsRowShown="0" headerRowDxfId="21" headerRowBorderDxfId="25" tableBorderDxfId="26" totalsRowBorderDxfId="24">
  <autoFilter ref="A1:B19" xr:uid="{E288B299-C6BC-4B40-81EB-BB5D84C7D1C7}"/>
  <tableColumns count="2">
    <tableColumn id="1" xr3:uid="{36A13250-E5BA-4BDF-8A42-00C0C4E1494F}" name="Column1" dataDxfId="23"/>
    <tableColumn id="2" xr3:uid="{DF1DB2CD-EC52-4137-BEE8-A2F9FF0B5BF6}" name="Column2"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874A5A-223E-4E05-B46C-8F2F11280443}" name="Table6" displayName="Table6" ref="C1:D19" totalsRowShown="0" headerRowDxfId="15" headerRowBorderDxfId="19" tableBorderDxfId="20" totalsRowBorderDxfId="18">
  <autoFilter ref="C1:D19" xr:uid="{E7874A5A-223E-4E05-B46C-8F2F11280443}"/>
  <tableColumns count="2">
    <tableColumn id="1" xr3:uid="{37B03016-9BE7-466C-B9E0-A92C81744166}" name="Column1" dataDxfId="17"/>
    <tableColumn id="2" xr3:uid="{D9ED871A-FFC9-4E22-92AD-6C41B4E20B8C}" name="Column2" dataDxfId="16"/>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22BB48-2C9B-488E-9A85-B25B5D87B58D}" name="Table7" displayName="Table7" ref="E1:F19" totalsRowShown="0" headerRowDxfId="9" headerRowBorderDxfId="13" tableBorderDxfId="14" totalsRowBorderDxfId="12">
  <autoFilter ref="E1:F19" xr:uid="{1B22BB48-2C9B-488E-9A85-B25B5D87B58D}"/>
  <tableColumns count="2">
    <tableColumn id="1" xr3:uid="{1F2D4849-49CB-4E3B-972F-34619F5E21E1}" name="Column1" dataDxfId="11"/>
    <tableColumn id="2" xr3:uid="{AF1421EC-E9BC-49BA-BFFC-362FDD4A37F1}" name="Column2" dataDxfId="10"/>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D0888-0E42-4DD6-BA24-5869CD3C26A3}" name="Table1" displayName="Table1" ref="K1:M28" totalsRowShown="0">
  <autoFilter ref="K1:M28" xr:uid="{8D2D0888-0E42-4DD6-BA24-5869CD3C26A3}"/>
  <tableColumns count="3">
    <tableColumn id="1" xr3:uid="{16CB90A5-EC78-4BDE-833A-AF6C371B8B48}" name="Unique_customer" dataDxfId="27"/>
    <tableColumn id="2" xr3:uid="{9FFEF6F2-2042-4A35-87BD-33907E399485}" name="Total_sales per Customer">
      <calculatedColumnFormula>SUMIF($B$2:$B$201,K2,$E$2:$E$201)</calculatedColumnFormula>
    </tableColumn>
    <tableColumn id="3" xr3:uid="{2CBA66B1-F776-4143-9A50-3BECEDA0716E}" name="Rank per Customer">
      <calculatedColumnFormula>_xlfn.RANK.EQ(L2,$L$2:$L$28)</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1C991E-7D0C-4CC0-91D8-D2711BA1835A}" name="Table2" displayName="Table2" ref="A1:I201" totalsRowShown="0">
  <autoFilter ref="A1:I201" xr:uid="{8E1C991E-7D0C-4CC0-91D8-D2711BA1835A}"/>
  <tableColumns count="9">
    <tableColumn id="1" xr3:uid="{CF764E88-C37A-49CE-AB2F-331AD4938C04}" name="Customer_ID"/>
    <tableColumn id="2" xr3:uid="{E05187B9-92F3-4A7B-8CF0-6494B239F449}" name="Customer_Name"/>
    <tableColumn id="3" xr3:uid="{7240B86A-53DC-4B55-A805-444C806EE758}" name="Region"/>
    <tableColumn id="4" xr3:uid="{15BD0D6E-8053-40F5-B848-82597E0FB286}" name="Product_Category"/>
    <tableColumn id="5" xr3:uid="{47F6A86D-44A2-48B8-8D9B-315D57D5F362}" name="Sales"/>
    <tableColumn id="6" xr3:uid="{20257350-C1AA-4F86-9B00-59E249B71FEA}" name="Quantity"/>
    <tableColumn id="7" xr3:uid="{5D686B7C-68A3-48BB-B471-A9D8FA0CA9DE}" name="Discount"/>
    <tableColumn id="8" xr3:uid="{C947DDC0-2BB9-4449-B6A9-4392A38F5F01}" name="Order_Date" dataDxfId="8"/>
    <tableColumn id="9" xr3:uid="{4CB552B7-28F1-4B14-986E-AA15D36A9EC3}" name="Profit">
      <calculatedColumnFormula>Table2[[#This Row],[Sales]]*(1-Table2[[#This Row],[Discount]])</calculatedColumnFormula>
    </tableColumn>
  </tableColumns>
  <tableStyleInfo name="TableStyleLight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7B54A6-B834-42A7-BBD7-BC5C0600515C}" name="Table3" displayName="Table3" ref="A1:I19" totalsRowShown="0" tableBorderDxfId="7">
  <autoFilter ref="A1:I19" xr:uid="{737B54A6-B834-42A7-BBD7-BC5C0600515C}"/>
  <tableColumns count="9">
    <tableColumn id="1" xr3:uid="{F493045C-F213-452C-A45C-EA568F9E10FC}" name="Column1" dataDxfId="6"/>
    <tableColumn id="2" xr3:uid="{42BB7DFC-C879-4535-A07D-D6714D0E3829}" name="Column2" dataDxfId="5"/>
    <tableColumn id="3" xr3:uid="{EAA48CDF-0EE6-4F93-B76F-1830D6E2B81A}" name="Column3" dataDxfId="4"/>
    <tableColumn id="4" xr3:uid="{CA0395EF-7AB9-4875-B55A-04DC5DF7E669}" name="Column4" dataDxfId="3"/>
    <tableColumn id="5" xr3:uid="{76730B95-B64D-4E59-8726-B693D9237C2F}" name="Column5" dataDxfId="2"/>
    <tableColumn id="6" xr3:uid="{029C2AFA-D22A-44AA-9522-2D27001D2FC2}" name="Column6" dataDxfId="1"/>
    <tableColumn id="7" xr3:uid="{C775EFF0-EDA1-4F13-86C6-C2B01EA5F983}" name="Column7"/>
    <tableColumn id="8" xr3:uid="{092EA7F4-7BE3-4B88-8AE1-59FA4C04E07D}" name="Column8"/>
    <tableColumn id="9" xr3:uid="{45CCACC4-90E4-4D37-8B7F-B5225F6D6A93}" name="Column9"/>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election activeCell="A2" sqref="A2"/>
    </sheetView>
  </sheetViews>
  <sheetFormatPr defaultColWidth="14.44140625" defaultRowHeight="15" customHeight="1" x14ac:dyDescent="0.3"/>
  <cols>
    <col min="1" max="1" width="74.88671875" customWidth="1"/>
    <col min="2" max="26" width="8.6640625" customWidth="1"/>
  </cols>
  <sheetData>
    <row r="1" spans="1:26" ht="14.4" x14ac:dyDescent="0.3">
      <c r="A1" s="2" t="s">
        <v>1</v>
      </c>
      <c r="B1" s="3"/>
      <c r="C1" s="3"/>
      <c r="D1" s="3"/>
      <c r="E1" s="3"/>
      <c r="F1" s="3"/>
      <c r="G1" s="3"/>
      <c r="H1" s="3"/>
      <c r="I1" s="3"/>
      <c r="J1" s="3"/>
      <c r="K1" s="3"/>
      <c r="L1" s="3"/>
      <c r="M1" s="3"/>
      <c r="N1" s="3"/>
      <c r="O1" s="3"/>
      <c r="P1" s="3"/>
      <c r="Q1" s="3"/>
      <c r="R1" s="3"/>
      <c r="S1" s="3"/>
      <c r="T1" s="3"/>
      <c r="U1" s="3"/>
      <c r="V1" s="3"/>
      <c r="W1" s="3"/>
      <c r="X1" s="3"/>
      <c r="Y1" s="3"/>
      <c r="Z1" s="3"/>
    </row>
    <row r="2" spans="1:26" ht="409.6" x14ac:dyDescent="0.3">
      <c r="A2" s="13" t="s">
        <v>14</v>
      </c>
      <c r="B2" s="3"/>
      <c r="C2" s="3"/>
      <c r="D2" s="3"/>
      <c r="E2" s="3"/>
      <c r="F2" s="3"/>
      <c r="G2" s="3"/>
      <c r="H2" s="3"/>
      <c r="I2" s="3"/>
      <c r="J2" s="3"/>
      <c r="K2" s="3"/>
      <c r="L2" s="3"/>
      <c r="M2" s="3"/>
      <c r="N2" s="3"/>
      <c r="O2" s="3"/>
      <c r="P2" s="3"/>
      <c r="Q2" s="3"/>
      <c r="R2" s="3"/>
      <c r="S2" s="3"/>
      <c r="T2" s="3"/>
      <c r="U2" s="3"/>
      <c r="V2" s="3"/>
      <c r="W2" s="3"/>
      <c r="X2" s="3"/>
      <c r="Y2" s="3"/>
      <c r="Z2" s="3"/>
    </row>
    <row r="3" spans="1:26" ht="14.4" x14ac:dyDescent="0.3">
      <c r="A3" s="3"/>
      <c r="B3" s="3"/>
      <c r="C3" s="3"/>
      <c r="D3" s="3"/>
      <c r="E3" s="3"/>
      <c r="F3" s="3"/>
      <c r="G3" s="3"/>
      <c r="H3" s="3"/>
      <c r="I3" s="3"/>
      <c r="J3" s="3"/>
      <c r="K3" s="3"/>
      <c r="L3" s="3"/>
      <c r="M3" s="3"/>
      <c r="N3" s="3"/>
      <c r="O3" s="3"/>
      <c r="P3" s="3"/>
      <c r="Q3" s="3"/>
      <c r="R3" s="3"/>
      <c r="S3" s="3"/>
      <c r="T3" s="3"/>
      <c r="U3" s="3"/>
      <c r="V3" s="3"/>
      <c r="W3" s="3"/>
      <c r="X3" s="3"/>
      <c r="Y3" s="3"/>
      <c r="Z3" s="3"/>
    </row>
    <row r="4" spans="1:26" ht="15.75"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3">
      <c r="A5" s="3"/>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3">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3">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3">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3">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D56A0-C01B-4CA3-A5DA-2E69F635D09E}">
  <dimension ref="J19:J24"/>
  <sheetViews>
    <sheetView tabSelected="1" topLeftCell="A2" workbookViewId="0">
      <selection activeCell="N27" sqref="N27"/>
    </sheetView>
  </sheetViews>
  <sheetFormatPr defaultRowHeight="14.4" x14ac:dyDescent="0.3"/>
  <cols>
    <col min="1" max="1" width="12.5546875" bestFit="1" customWidth="1"/>
    <col min="2" max="2" width="11.6640625" bestFit="1" customWidth="1"/>
    <col min="3" max="3" width="5" bestFit="1" customWidth="1"/>
    <col min="4" max="4" width="10.77734375" bestFit="1" customWidth="1"/>
    <col min="10" max="10" width="41.33203125" customWidth="1"/>
  </cols>
  <sheetData>
    <row r="19" spans="10:10" ht="23.4" x14ac:dyDescent="0.45">
      <c r="J19" s="41" t="s">
        <v>141</v>
      </c>
    </row>
    <row r="20" spans="10:10" ht="15.6" x14ac:dyDescent="0.3">
      <c r="J20" s="42" t="str">
        <f>INDEX(Dataset!$K$2:$K$28,MATCH(LARGE(Dataset!$L$2:$L$28,ROWS(H$2:$M20)),Dataset!$L$2:$L$28,0))</f>
        <v>David Anderson</v>
      </c>
    </row>
    <row r="21" spans="10:10" ht="15.6" x14ac:dyDescent="0.3">
      <c r="J21" s="42" t="str">
        <f>INDEX(Dataset!$K$2:$K$28,MATCH(LARGE(Dataset!$L$2:$L$28,ROWS(H$2:$M21)),Dataset!$L$2:$L$28,0))</f>
        <v>Mary Wilson</v>
      </c>
    </row>
    <row r="22" spans="10:10" ht="15.6" x14ac:dyDescent="0.3">
      <c r="J22" s="42" t="str">
        <f>INDEX(Dataset!$K$2:$K$28,MATCH(LARGE(Dataset!$L$2:$L$28,ROWS(H$2:$M22)),Dataset!$L$2:$L$28,0))</f>
        <v>Emma Taylor</v>
      </c>
    </row>
    <row r="23" spans="10:10" ht="15.6" x14ac:dyDescent="0.3">
      <c r="J23" s="42" t="str">
        <f>INDEX(Dataset!$K$2:$K$28,MATCH(LARGE(Dataset!$L$2:$L$28,ROWS(H$2:$M23)),Dataset!$L$2:$L$28,0))</f>
        <v>Linda Jackson</v>
      </c>
    </row>
    <row r="24" spans="10:10" ht="15.6" x14ac:dyDescent="0.3">
      <c r="J24" s="42" t="str">
        <f>INDEX(Dataset!$K$2:$K$28,MATCH(LARGE(Dataset!$L$2:$L$28,ROWS(H$2:$M24)),Dataset!$L$2:$L$28,0))</f>
        <v>David Davis</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A09E-11E9-4F8C-8E57-51D2E7537253}">
  <dimension ref="A1:H29"/>
  <sheetViews>
    <sheetView topLeftCell="B1" workbookViewId="0">
      <selection activeCell="K17" sqref="K17"/>
    </sheetView>
  </sheetViews>
  <sheetFormatPr defaultRowHeight="14.4" x14ac:dyDescent="0.3"/>
  <cols>
    <col min="1" max="1" width="20.88671875" customWidth="1"/>
    <col min="2" max="2" width="13.109375" bestFit="1" customWidth="1"/>
    <col min="3" max="3" width="15.5546875" bestFit="1" customWidth="1"/>
    <col min="4" max="7" width="9" bestFit="1" customWidth="1"/>
    <col min="8" max="8" width="10.77734375" bestFit="1" customWidth="1"/>
    <col min="9" max="9" width="15.5546875" bestFit="1" customWidth="1"/>
    <col min="10" max="13" width="9" bestFit="1" customWidth="1"/>
    <col min="14" max="14" width="10.77734375" bestFit="1" customWidth="1"/>
  </cols>
  <sheetData>
    <row r="1" spans="1:6" x14ac:dyDescent="0.3">
      <c r="A1" s="25" t="s">
        <v>110</v>
      </c>
      <c r="B1" s="26" t="s">
        <v>111</v>
      </c>
      <c r="C1" s="25" t="s">
        <v>110</v>
      </c>
      <c r="D1" s="26" t="s">
        <v>111</v>
      </c>
      <c r="E1" s="31" t="s">
        <v>110</v>
      </c>
      <c r="F1" s="32" t="s">
        <v>111</v>
      </c>
    </row>
    <row r="2" spans="1:6" x14ac:dyDescent="0.3">
      <c r="A2" s="19" t="s">
        <v>5</v>
      </c>
      <c r="B2" s="22"/>
      <c r="C2" s="19" t="s">
        <v>6</v>
      </c>
      <c r="D2" s="22"/>
      <c r="E2" s="29" t="s">
        <v>7</v>
      </c>
      <c r="F2" s="30"/>
    </row>
    <row r="3" spans="1:6" x14ac:dyDescent="0.3">
      <c r="A3" s="20"/>
      <c r="B3" s="23"/>
      <c r="C3" s="20"/>
      <c r="D3" s="23"/>
      <c r="E3" s="20"/>
      <c r="F3" s="23"/>
    </row>
    <row r="4" spans="1:6" x14ac:dyDescent="0.3">
      <c r="A4" s="21" t="s">
        <v>119</v>
      </c>
      <c r="B4" s="24">
        <v>976.08879999999965</v>
      </c>
      <c r="C4" s="21" t="s">
        <v>119</v>
      </c>
      <c r="D4" s="24">
        <v>9.9949999999999992</v>
      </c>
      <c r="E4" s="21" t="s">
        <v>119</v>
      </c>
      <c r="F4" s="24">
        <v>9.7250000000000003E-2</v>
      </c>
    </row>
    <row r="5" spans="1:6" x14ac:dyDescent="0.3">
      <c r="A5" s="21" t="s">
        <v>90</v>
      </c>
      <c r="B5" s="24">
        <v>21.161850448978406</v>
      </c>
      <c r="C5" s="21" t="s">
        <v>90</v>
      </c>
      <c r="D5" s="24">
        <v>0.39927682743257598</v>
      </c>
      <c r="E5" s="21" t="s">
        <v>90</v>
      </c>
      <c r="F5" s="24">
        <v>5.1142413732752686E-3</v>
      </c>
    </row>
    <row r="6" spans="1:6" x14ac:dyDescent="0.3">
      <c r="A6" s="21" t="s">
        <v>120</v>
      </c>
      <c r="B6" s="24">
        <v>976.72</v>
      </c>
      <c r="C6" s="21" t="s">
        <v>120</v>
      </c>
      <c r="D6" s="24">
        <v>10</v>
      </c>
      <c r="E6" s="21" t="s">
        <v>120</v>
      </c>
      <c r="F6" s="24">
        <v>0.1</v>
      </c>
    </row>
    <row r="7" spans="1:6" x14ac:dyDescent="0.3">
      <c r="A7" s="21" t="s">
        <v>121</v>
      </c>
      <c r="B7" s="24" t="e">
        <v>#N/A</v>
      </c>
      <c r="C7" s="21" t="s">
        <v>121</v>
      </c>
      <c r="D7" s="24">
        <v>8</v>
      </c>
      <c r="E7" s="21" t="s">
        <v>121</v>
      </c>
      <c r="F7" s="24">
        <v>0.2</v>
      </c>
    </row>
    <row r="8" spans="1:6" x14ac:dyDescent="0.3">
      <c r="A8" s="21" t="s">
        <v>122</v>
      </c>
      <c r="B8" s="24">
        <v>299.27375909856431</v>
      </c>
      <c r="C8" s="21" t="s">
        <v>122</v>
      </c>
      <c r="D8" s="24">
        <v>5.6466270449645082</v>
      </c>
      <c r="E8" s="21" t="s">
        <v>122</v>
      </c>
      <c r="F8" s="24">
        <v>7.232629511335488E-2</v>
      </c>
    </row>
    <row r="9" spans="1:6" x14ac:dyDescent="0.3">
      <c r="A9" s="21" t="s">
        <v>123</v>
      </c>
      <c r="B9" s="24">
        <v>89564.782884985514</v>
      </c>
      <c r="C9" s="21" t="s">
        <v>123</v>
      </c>
      <c r="D9" s="24">
        <v>31.884396984924617</v>
      </c>
      <c r="E9" s="21" t="s">
        <v>123</v>
      </c>
      <c r="F9" s="24">
        <v>5.2310929648241022E-3</v>
      </c>
    </row>
    <row r="10" spans="1:6" x14ac:dyDescent="0.3">
      <c r="A10" s="21" t="s">
        <v>124</v>
      </c>
      <c r="B10" s="24">
        <v>-8.8595231919740502E-2</v>
      </c>
      <c r="C10" s="21" t="s">
        <v>124</v>
      </c>
      <c r="D10" s="24">
        <v>-1.2091053826620759</v>
      </c>
      <c r="E10" s="21" t="s">
        <v>124</v>
      </c>
      <c r="F10" s="24">
        <v>-1.3257012415855784</v>
      </c>
    </row>
    <row r="11" spans="1:6" x14ac:dyDescent="0.3">
      <c r="A11" s="21" t="s">
        <v>125</v>
      </c>
      <c r="B11" s="24">
        <v>0.14685796564193557</v>
      </c>
      <c r="C11" s="21" t="s">
        <v>125</v>
      </c>
      <c r="D11" s="24">
        <v>6.084586432077814E-2</v>
      </c>
      <c r="E11" s="21" t="s">
        <v>125</v>
      </c>
      <c r="F11" s="24">
        <v>9.6827385576684841E-2</v>
      </c>
    </row>
    <row r="12" spans="1:6" x14ac:dyDescent="0.3">
      <c r="A12" s="21" t="s">
        <v>126</v>
      </c>
      <c r="B12" s="24">
        <v>1665.15</v>
      </c>
      <c r="C12" s="21" t="s">
        <v>126</v>
      </c>
      <c r="D12" s="24">
        <v>18</v>
      </c>
      <c r="E12" s="21" t="s">
        <v>126</v>
      </c>
      <c r="F12" s="24">
        <v>0.2</v>
      </c>
    </row>
    <row r="13" spans="1:6" x14ac:dyDescent="0.3">
      <c r="A13" s="21" t="s">
        <v>127</v>
      </c>
      <c r="B13" s="24">
        <v>258.51</v>
      </c>
      <c r="C13" s="21" t="s">
        <v>127</v>
      </c>
      <c r="D13" s="24">
        <v>1</v>
      </c>
      <c r="E13" s="21" t="s">
        <v>127</v>
      </c>
      <c r="F13" s="24">
        <v>0</v>
      </c>
    </row>
    <row r="14" spans="1:6" x14ac:dyDescent="0.3">
      <c r="A14" s="21" t="s">
        <v>128</v>
      </c>
      <c r="B14" s="24">
        <v>1923.66</v>
      </c>
      <c r="C14" s="21" t="s">
        <v>128</v>
      </c>
      <c r="D14" s="24">
        <v>19</v>
      </c>
      <c r="E14" s="21" t="s">
        <v>128</v>
      </c>
      <c r="F14" s="24">
        <v>0.2</v>
      </c>
    </row>
    <row r="15" spans="1:6" x14ac:dyDescent="0.3">
      <c r="A15" s="21" t="s">
        <v>129</v>
      </c>
      <c r="B15" s="24">
        <v>195217.75999999992</v>
      </c>
      <c r="C15" s="21" t="s">
        <v>129</v>
      </c>
      <c r="D15" s="24">
        <v>1999</v>
      </c>
      <c r="E15" s="21" t="s">
        <v>129</v>
      </c>
      <c r="F15" s="24">
        <v>19.45</v>
      </c>
    </row>
    <row r="16" spans="1:6" x14ac:dyDescent="0.3">
      <c r="A16" s="21" t="s">
        <v>130</v>
      </c>
      <c r="B16" s="24">
        <v>200</v>
      </c>
      <c r="C16" s="21" t="s">
        <v>130</v>
      </c>
      <c r="D16" s="24">
        <v>200</v>
      </c>
      <c r="E16" s="21" t="s">
        <v>130</v>
      </c>
      <c r="F16" s="24">
        <v>200</v>
      </c>
    </row>
    <row r="17" spans="1:8" x14ac:dyDescent="0.3">
      <c r="A17" s="21" t="s">
        <v>131</v>
      </c>
      <c r="B17" s="24">
        <v>1923.66</v>
      </c>
      <c r="C17" s="21" t="s">
        <v>131</v>
      </c>
      <c r="D17" s="24">
        <v>19</v>
      </c>
      <c r="E17" s="21" t="s">
        <v>131</v>
      </c>
      <c r="F17" s="24">
        <v>0.2</v>
      </c>
    </row>
    <row r="18" spans="1:8" x14ac:dyDescent="0.3">
      <c r="A18" s="21" t="s">
        <v>132</v>
      </c>
      <c r="B18" s="24">
        <v>258.51</v>
      </c>
      <c r="C18" s="21" t="s">
        <v>132</v>
      </c>
      <c r="D18" s="24">
        <v>1</v>
      </c>
      <c r="E18" s="21" t="s">
        <v>132</v>
      </c>
      <c r="F18" s="24">
        <v>0</v>
      </c>
    </row>
    <row r="19" spans="1:8" x14ac:dyDescent="0.3">
      <c r="A19" s="27" t="s">
        <v>133</v>
      </c>
      <c r="B19" s="28">
        <v>41.730249481339911</v>
      </c>
      <c r="C19" s="27" t="s">
        <v>133</v>
      </c>
      <c r="D19" s="28">
        <v>0.78735655282374695</v>
      </c>
      <c r="E19" s="27" t="s">
        <v>133</v>
      </c>
      <c r="F19" s="28">
        <v>1.008506174491325E-2</v>
      </c>
    </row>
    <row r="22" spans="1:8" x14ac:dyDescent="0.3">
      <c r="B22" s="34" t="s">
        <v>136</v>
      </c>
      <c r="C22" s="34" t="s">
        <v>140</v>
      </c>
    </row>
    <row r="23" spans="1:8" x14ac:dyDescent="0.3">
      <c r="B23" s="34" t="s">
        <v>134</v>
      </c>
      <c r="C23" t="s">
        <v>36</v>
      </c>
      <c r="D23" t="s">
        <v>20</v>
      </c>
      <c r="E23" t="s">
        <v>26</v>
      </c>
      <c r="F23" t="s">
        <v>22</v>
      </c>
      <c r="G23" t="s">
        <v>12</v>
      </c>
      <c r="H23" t="s">
        <v>135</v>
      </c>
    </row>
    <row r="24" spans="1:8" x14ac:dyDescent="0.3">
      <c r="B24" s="35" t="s">
        <v>13</v>
      </c>
      <c r="C24" s="36">
        <v>11297.150000000001</v>
      </c>
      <c r="D24" s="36">
        <v>11389.090000000002</v>
      </c>
      <c r="E24" s="36">
        <v>8037.0100000000011</v>
      </c>
      <c r="F24" s="36">
        <v>9588.0400000000009</v>
      </c>
      <c r="G24" s="36">
        <v>6691.17</v>
      </c>
      <c r="H24" s="36">
        <v>47002.460000000006</v>
      </c>
    </row>
    <row r="25" spans="1:8" x14ac:dyDescent="0.3">
      <c r="B25" s="35" t="s">
        <v>17</v>
      </c>
      <c r="C25" s="36">
        <v>12200.26</v>
      </c>
      <c r="D25" s="36">
        <v>2401.4499999999998</v>
      </c>
      <c r="E25" s="36">
        <v>8422.82</v>
      </c>
      <c r="F25" s="36">
        <v>8393.630000000001</v>
      </c>
      <c r="G25" s="36">
        <v>10509.429999999998</v>
      </c>
      <c r="H25" s="36">
        <v>41927.589999999997</v>
      </c>
    </row>
    <row r="26" spans="1:8" x14ac:dyDescent="0.3">
      <c r="B26" s="35" t="s">
        <v>23</v>
      </c>
      <c r="C26" s="36">
        <v>6621.24</v>
      </c>
      <c r="D26" s="36">
        <v>2869.54</v>
      </c>
      <c r="E26" s="36">
        <v>8191.7099999999991</v>
      </c>
      <c r="F26" s="36">
        <v>11989.070000000003</v>
      </c>
      <c r="G26" s="36">
        <v>11372.44</v>
      </c>
      <c r="H26" s="36">
        <v>41044</v>
      </c>
    </row>
    <row r="27" spans="1:8" x14ac:dyDescent="0.3">
      <c r="B27" s="35" t="s">
        <v>29</v>
      </c>
      <c r="C27" s="36">
        <v>4876.96</v>
      </c>
      <c r="D27" s="36">
        <v>7592.3399999999992</v>
      </c>
      <c r="E27" s="36">
        <v>6978.08</v>
      </c>
      <c r="F27" s="36">
        <v>7982.73</v>
      </c>
      <c r="G27" s="36">
        <v>9182.7800000000007</v>
      </c>
      <c r="H27" s="36">
        <v>36612.89</v>
      </c>
    </row>
    <row r="28" spans="1:8" x14ac:dyDescent="0.3">
      <c r="B28" s="35" t="s">
        <v>41</v>
      </c>
      <c r="C28" s="36">
        <v>8472.7199999999993</v>
      </c>
      <c r="D28" s="36">
        <v>8189.2200000000012</v>
      </c>
      <c r="E28" s="36">
        <v>3345.8</v>
      </c>
      <c r="F28" s="36">
        <v>2295.3199999999997</v>
      </c>
      <c r="G28" s="36">
        <v>6327.76</v>
      </c>
      <c r="H28" s="36">
        <v>28630.82</v>
      </c>
    </row>
    <row r="29" spans="1:8" x14ac:dyDescent="0.3">
      <c r="B29" s="35" t="s">
        <v>135</v>
      </c>
      <c r="C29" s="36">
        <v>43468.33</v>
      </c>
      <c r="D29" s="36">
        <v>32441.640000000003</v>
      </c>
      <c r="E29" s="36">
        <v>34975.420000000006</v>
      </c>
      <c r="F29" s="36">
        <v>40248.79</v>
      </c>
      <c r="G29" s="36">
        <v>44083.58</v>
      </c>
      <c r="H29" s="36">
        <v>195217.76</v>
      </c>
    </row>
  </sheetData>
  <pageMargins left="0.7" right="0.7" top="0.75" bottom="0.75" header="0.3" footer="0.3"/>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85" zoomScaleNormal="85" workbookViewId="0">
      <selection activeCell="K32" sqref="K32"/>
    </sheetView>
  </sheetViews>
  <sheetFormatPr defaultColWidth="14.44140625" defaultRowHeight="15" customHeight="1" x14ac:dyDescent="0.3"/>
  <cols>
    <col min="1" max="1" width="13.77734375" customWidth="1"/>
    <col min="2" max="2" width="17" customWidth="1"/>
    <col min="3" max="3" width="10.88671875" customWidth="1"/>
    <col min="4" max="4" width="24.88671875" customWidth="1"/>
    <col min="5" max="5" width="11.21875" customWidth="1"/>
    <col min="6" max="6" width="14.44140625" customWidth="1"/>
    <col min="7" max="7" width="12.33203125" customWidth="1"/>
    <col min="8" max="8" width="13.88671875" customWidth="1"/>
    <col min="9" max="10" width="11.77734375" customWidth="1"/>
    <col min="11" max="12" width="23.88671875" customWidth="1"/>
    <col min="13" max="13" width="18.6640625" customWidth="1"/>
    <col min="14" max="14" width="16.44140625" customWidth="1"/>
    <col min="15" max="15" width="16" customWidth="1"/>
    <col min="16" max="26" width="8.6640625" customWidth="1"/>
  </cols>
  <sheetData>
    <row r="1" spans="1:26" ht="14.4" x14ac:dyDescent="0.3">
      <c r="A1" t="s">
        <v>0</v>
      </c>
      <c r="B1" s="18" t="s">
        <v>2</v>
      </c>
      <c r="C1" t="s">
        <v>3</v>
      </c>
      <c r="D1" t="s">
        <v>4</v>
      </c>
      <c r="E1" t="s">
        <v>5</v>
      </c>
      <c r="F1" t="s">
        <v>6</v>
      </c>
      <c r="G1" t="s">
        <v>7</v>
      </c>
      <c r="H1" t="s">
        <v>8</v>
      </c>
      <c r="I1" t="s">
        <v>9</v>
      </c>
      <c r="K1" s="5" t="s">
        <v>80</v>
      </c>
      <c r="L1" s="1" t="s">
        <v>78</v>
      </c>
      <c r="M1" s="5" t="s">
        <v>79</v>
      </c>
      <c r="N1" s="12" t="s">
        <v>82</v>
      </c>
      <c r="O1" s="12" t="s">
        <v>84</v>
      </c>
      <c r="P1" s="1"/>
      <c r="Q1" s="1"/>
      <c r="R1" s="1"/>
      <c r="S1" s="1"/>
      <c r="T1" s="1"/>
      <c r="U1" s="1"/>
      <c r="V1" s="1"/>
      <c r="W1" s="1"/>
      <c r="X1" s="1"/>
      <c r="Y1" s="1"/>
      <c r="Z1" s="1"/>
    </row>
    <row r="2" spans="1:26" ht="14.4" x14ac:dyDescent="0.3">
      <c r="A2" t="s">
        <v>10</v>
      </c>
      <c r="B2" t="s">
        <v>11</v>
      </c>
      <c r="C2" t="s">
        <v>12</v>
      </c>
      <c r="D2" t="s">
        <v>13</v>
      </c>
      <c r="E2">
        <v>1036.0899999999999</v>
      </c>
      <c r="F2">
        <v>4</v>
      </c>
      <c r="G2">
        <v>0.2</v>
      </c>
      <c r="H2" s="33">
        <v>45392</v>
      </c>
      <c r="I2">
        <f>Table2[[#This Row],[Sales]]*(1-Table2[[#This Row],[Discount]])</f>
        <v>828.87199999999996</v>
      </c>
      <c r="K2" s="4" t="s">
        <v>11</v>
      </c>
      <c r="L2">
        <f>SUMIF($B$2:$B$201,K2,$E$2:$E$201)</f>
        <v>6255.7</v>
      </c>
      <c r="M2">
        <f>_xlfn.RANK.EQ(L2,$L$2:$L$28)</f>
        <v>15</v>
      </c>
      <c r="N2" s="10">
        <v>0.15</v>
      </c>
      <c r="O2" s="11">
        <f>O11</f>
        <v>165935.09599999993</v>
      </c>
    </row>
    <row r="3" spans="1:26" ht="14.4" x14ac:dyDescent="0.3">
      <c r="A3" t="s">
        <v>15</v>
      </c>
      <c r="B3" t="s">
        <v>16</v>
      </c>
      <c r="C3" t="s">
        <v>12</v>
      </c>
      <c r="D3" t="s">
        <v>17</v>
      </c>
      <c r="E3">
        <v>1101.28</v>
      </c>
      <c r="F3">
        <v>3</v>
      </c>
      <c r="G3">
        <v>0.2</v>
      </c>
      <c r="H3" s="33">
        <v>45393</v>
      </c>
      <c r="I3">
        <f>Table2[[#This Row],[Sales]]*(1-Table2[[#This Row],[Discount]])</f>
        <v>881.024</v>
      </c>
      <c r="K3" s="4" t="s">
        <v>16</v>
      </c>
      <c r="L3">
        <f t="shared" ref="L3:L28" si="0">SUMIF($B$2:$B$201,K3,$E$2:$E$201)</f>
        <v>8331.8499999999985</v>
      </c>
      <c r="M3">
        <f t="shared" ref="M3:M28" si="1">_xlfn.RANK.EQ(L3,$L$2:$L$28)</f>
        <v>8</v>
      </c>
      <c r="N3" s="10">
        <v>0.2</v>
      </c>
      <c r="O3" s="11">
        <f t="dataTable" ref="O3:O5" dt2D="0" dtr="0" r1="O8"/>
        <v>156174.20799999996</v>
      </c>
    </row>
    <row r="4" spans="1:26" ht="14.4" x14ac:dyDescent="0.3">
      <c r="A4" t="s">
        <v>18</v>
      </c>
      <c r="B4" t="s">
        <v>19</v>
      </c>
      <c r="C4" t="s">
        <v>20</v>
      </c>
      <c r="D4" t="s">
        <v>13</v>
      </c>
      <c r="E4">
        <v>713.34</v>
      </c>
      <c r="F4">
        <v>17</v>
      </c>
      <c r="G4">
        <v>0</v>
      </c>
      <c r="H4" s="33">
        <v>45396</v>
      </c>
      <c r="I4">
        <f>Table2[[#This Row],[Sales]]*(1-Table2[[#This Row],[Discount]])</f>
        <v>713.34</v>
      </c>
      <c r="K4" s="4" t="s">
        <v>19</v>
      </c>
      <c r="L4">
        <f t="shared" si="0"/>
        <v>5615.2800000000007</v>
      </c>
      <c r="M4">
        <f t="shared" si="1"/>
        <v>18</v>
      </c>
      <c r="N4" s="10">
        <v>0.25</v>
      </c>
      <c r="O4" s="11">
        <v>146413.31999999995</v>
      </c>
    </row>
    <row r="5" spans="1:26" ht="14.4" x14ac:dyDescent="0.3">
      <c r="A5" t="s">
        <v>21</v>
      </c>
      <c r="B5" t="s">
        <v>16</v>
      </c>
      <c r="C5" t="s">
        <v>22</v>
      </c>
      <c r="D5" t="s">
        <v>23</v>
      </c>
      <c r="E5">
        <v>760.93</v>
      </c>
      <c r="F5">
        <v>4</v>
      </c>
      <c r="G5">
        <v>0.15</v>
      </c>
      <c r="H5" s="33">
        <v>45396</v>
      </c>
      <c r="I5">
        <f>Table2[[#This Row],[Sales]]*(1-Table2[[#This Row],[Discount]])</f>
        <v>646.79049999999995</v>
      </c>
      <c r="K5" s="4" t="s">
        <v>25</v>
      </c>
      <c r="L5">
        <f t="shared" si="0"/>
        <v>20774.739999999998</v>
      </c>
      <c r="M5">
        <f t="shared" si="1"/>
        <v>1</v>
      </c>
      <c r="N5" s="10">
        <v>0.3</v>
      </c>
      <c r="O5" s="11">
        <v>136652.43199999994</v>
      </c>
    </row>
    <row r="6" spans="1:26" ht="14.4" x14ac:dyDescent="0.3">
      <c r="A6" t="s">
        <v>24</v>
      </c>
      <c r="B6" t="s">
        <v>25</v>
      </c>
      <c r="C6" t="s">
        <v>26</v>
      </c>
      <c r="D6" t="s">
        <v>13</v>
      </c>
      <c r="E6">
        <v>847</v>
      </c>
      <c r="F6">
        <v>12</v>
      </c>
      <c r="G6">
        <v>0.2</v>
      </c>
      <c r="H6" s="33">
        <v>45397</v>
      </c>
      <c r="I6">
        <f>Table2[[#This Row],[Sales]]*(1-Table2[[#This Row],[Discount]])</f>
        <v>677.6</v>
      </c>
      <c r="K6" s="4" t="s">
        <v>28</v>
      </c>
      <c r="L6">
        <f t="shared" si="0"/>
        <v>7881.9</v>
      </c>
      <c r="M6">
        <f t="shared" si="1"/>
        <v>10</v>
      </c>
    </row>
    <row r="7" spans="1:26" ht="14.4" x14ac:dyDescent="0.3">
      <c r="A7" t="s">
        <v>27</v>
      </c>
      <c r="B7" t="s">
        <v>28</v>
      </c>
      <c r="C7" t="s">
        <v>26</v>
      </c>
      <c r="D7" t="s">
        <v>29</v>
      </c>
      <c r="E7">
        <v>965.64</v>
      </c>
      <c r="F7">
        <v>8</v>
      </c>
      <c r="G7">
        <v>0.1</v>
      </c>
      <c r="H7" s="33">
        <v>45398</v>
      </c>
      <c r="I7">
        <f>Table2[[#This Row],[Sales]]*(1-Table2[[#This Row],[Discount]])</f>
        <v>869.07600000000002</v>
      </c>
      <c r="K7" s="4" t="s">
        <v>31</v>
      </c>
      <c r="L7">
        <f t="shared" si="0"/>
        <v>9970.1999999999989</v>
      </c>
      <c r="M7">
        <f t="shared" si="1"/>
        <v>5</v>
      </c>
      <c r="N7" s="6" t="s">
        <v>81</v>
      </c>
      <c r="O7" s="7">
        <f>SUM(Table2[Sales])</f>
        <v>195217.75999999992</v>
      </c>
    </row>
    <row r="8" spans="1:26" ht="14.4" x14ac:dyDescent="0.3">
      <c r="A8" t="s">
        <v>30</v>
      </c>
      <c r="B8" t="s">
        <v>31</v>
      </c>
      <c r="C8" t="s">
        <v>12</v>
      </c>
      <c r="D8" t="s">
        <v>23</v>
      </c>
      <c r="E8">
        <v>1317.53</v>
      </c>
      <c r="F8">
        <v>12</v>
      </c>
      <c r="G8">
        <v>0.05</v>
      </c>
      <c r="H8" s="33">
        <v>45398</v>
      </c>
      <c r="I8">
        <f>Table2[[#This Row],[Sales]]*(1-Table2[[#This Row],[Discount]])</f>
        <v>1251.6534999999999</v>
      </c>
      <c r="K8" s="4" t="s">
        <v>33</v>
      </c>
      <c r="L8">
        <f t="shared" si="0"/>
        <v>17143.289999999997</v>
      </c>
      <c r="M8">
        <f t="shared" si="1"/>
        <v>2</v>
      </c>
      <c r="N8" s="6" t="s">
        <v>82</v>
      </c>
      <c r="O8" s="8">
        <v>0.15</v>
      </c>
    </row>
    <row r="9" spans="1:26" ht="14.4" x14ac:dyDescent="0.3">
      <c r="A9" t="s">
        <v>32</v>
      </c>
      <c r="B9" t="s">
        <v>33</v>
      </c>
      <c r="C9" t="s">
        <v>20</v>
      </c>
      <c r="D9" t="s">
        <v>29</v>
      </c>
      <c r="E9">
        <v>1074.47</v>
      </c>
      <c r="F9">
        <v>6</v>
      </c>
      <c r="G9">
        <v>0.2</v>
      </c>
      <c r="H9" s="33">
        <v>45401</v>
      </c>
      <c r="I9">
        <f>Table2[[#This Row],[Sales]]*(1-Table2[[#This Row],[Discount]])</f>
        <v>859.57600000000002</v>
      </c>
      <c r="K9" s="4" t="s">
        <v>35</v>
      </c>
      <c r="L9">
        <f t="shared" si="0"/>
        <v>3968.59</v>
      </c>
      <c r="M9">
        <f t="shared" si="1"/>
        <v>22</v>
      </c>
    </row>
    <row r="10" spans="1:26" ht="14.4" x14ac:dyDescent="0.3">
      <c r="A10" t="s">
        <v>34</v>
      </c>
      <c r="B10" t="s">
        <v>35</v>
      </c>
      <c r="C10" t="s">
        <v>36</v>
      </c>
      <c r="D10" t="s">
        <v>13</v>
      </c>
      <c r="E10">
        <v>501.54</v>
      </c>
      <c r="F10">
        <v>11</v>
      </c>
      <c r="G10">
        <v>0.05</v>
      </c>
      <c r="H10" s="33">
        <v>45401</v>
      </c>
      <c r="I10">
        <f>Table2[[#This Row],[Sales]]*(1-Table2[[#This Row],[Discount]])</f>
        <v>476.46300000000002</v>
      </c>
      <c r="K10" s="4" t="s">
        <v>38</v>
      </c>
      <c r="L10">
        <f t="shared" si="0"/>
        <v>7020.3799999999992</v>
      </c>
      <c r="M10">
        <f t="shared" si="1"/>
        <v>14</v>
      </c>
    </row>
    <row r="11" spans="1:26" ht="14.4" x14ac:dyDescent="0.3">
      <c r="A11" t="s">
        <v>37</v>
      </c>
      <c r="B11" t="s">
        <v>38</v>
      </c>
      <c r="C11" t="s">
        <v>36</v>
      </c>
      <c r="D11" t="s">
        <v>17</v>
      </c>
      <c r="E11">
        <v>737.31</v>
      </c>
      <c r="F11">
        <v>2</v>
      </c>
      <c r="G11">
        <v>0.05</v>
      </c>
      <c r="H11" s="33">
        <v>45401</v>
      </c>
      <c r="I11">
        <f>Table2[[#This Row],[Sales]]*(1-Table2[[#This Row],[Discount]])</f>
        <v>700.44449999999995</v>
      </c>
      <c r="K11" s="4" t="s">
        <v>40</v>
      </c>
      <c r="L11">
        <f t="shared" si="0"/>
        <v>11398.32</v>
      </c>
      <c r="M11">
        <f t="shared" si="1"/>
        <v>4</v>
      </c>
      <c r="N11" s="6" t="s">
        <v>83</v>
      </c>
      <c r="O11" s="9">
        <f>O7*(1-O8)</f>
        <v>165935.09599999993</v>
      </c>
    </row>
    <row r="12" spans="1:26" ht="14.4" x14ac:dyDescent="0.3">
      <c r="A12" t="s">
        <v>39</v>
      </c>
      <c r="B12" t="s">
        <v>40</v>
      </c>
      <c r="C12" t="s">
        <v>12</v>
      </c>
      <c r="D12" t="s">
        <v>41</v>
      </c>
      <c r="E12">
        <v>1572.82</v>
      </c>
      <c r="F12">
        <v>6</v>
      </c>
      <c r="G12">
        <v>0.05</v>
      </c>
      <c r="H12" s="33">
        <v>45402</v>
      </c>
      <c r="I12">
        <f>Table2[[#This Row],[Sales]]*(1-Table2[[#This Row],[Discount]])</f>
        <v>1494.1789999999999</v>
      </c>
      <c r="K12" s="4" t="s">
        <v>44</v>
      </c>
      <c r="L12">
        <f t="shared" si="0"/>
        <v>1672.88</v>
      </c>
      <c r="M12">
        <f t="shared" si="1"/>
        <v>25</v>
      </c>
    </row>
    <row r="13" spans="1:26" ht="14.4" x14ac:dyDescent="0.3">
      <c r="A13" t="s">
        <v>39</v>
      </c>
      <c r="B13" t="s">
        <v>38</v>
      </c>
      <c r="C13" t="s">
        <v>36</v>
      </c>
      <c r="D13" t="s">
        <v>13</v>
      </c>
      <c r="E13">
        <v>1343.13</v>
      </c>
      <c r="F13">
        <v>14</v>
      </c>
      <c r="G13">
        <v>0.15</v>
      </c>
      <c r="H13" s="33">
        <v>45404</v>
      </c>
      <c r="I13">
        <f>Table2[[#This Row],[Sales]]*(1-Table2[[#This Row],[Discount]])</f>
        <v>1141.6605</v>
      </c>
      <c r="K13" s="4" t="s">
        <v>45</v>
      </c>
      <c r="L13">
        <f t="shared" si="0"/>
        <v>7296.1900000000005</v>
      </c>
      <c r="M13">
        <f t="shared" si="1"/>
        <v>12</v>
      </c>
    </row>
    <row r="14" spans="1:26" ht="14.4" x14ac:dyDescent="0.3">
      <c r="A14" t="s">
        <v>27</v>
      </c>
      <c r="B14" t="s">
        <v>28</v>
      </c>
      <c r="C14" t="s">
        <v>36</v>
      </c>
      <c r="D14" t="s">
        <v>13</v>
      </c>
      <c r="E14">
        <v>1191.58</v>
      </c>
      <c r="F14">
        <v>14</v>
      </c>
      <c r="G14">
        <v>0.05</v>
      </c>
      <c r="H14" s="33">
        <v>45406</v>
      </c>
      <c r="I14">
        <f>Table2[[#This Row],[Sales]]*(1-Table2[[#This Row],[Discount]])</f>
        <v>1132.001</v>
      </c>
      <c r="K14" s="4" t="s">
        <v>47</v>
      </c>
      <c r="L14">
        <f t="shared" si="0"/>
        <v>8635.9500000000007</v>
      </c>
      <c r="M14">
        <f t="shared" si="1"/>
        <v>6</v>
      </c>
    </row>
    <row r="15" spans="1:26" ht="14.4" x14ac:dyDescent="0.3">
      <c r="A15" t="s">
        <v>42</v>
      </c>
      <c r="B15" t="s">
        <v>16</v>
      </c>
      <c r="C15" t="s">
        <v>12</v>
      </c>
      <c r="D15" t="s">
        <v>29</v>
      </c>
      <c r="E15">
        <v>822.28</v>
      </c>
      <c r="F15">
        <v>7</v>
      </c>
      <c r="G15">
        <v>0.05</v>
      </c>
      <c r="H15" s="33">
        <v>45406</v>
      </c>
      <c r="I15">
        <f>Table2[[#This Row],[Sales]]*(1-Table2[[#This Row],[Discount]])</f>
        <v>781.16599999999994</v>
      </c>
      <c r="K15" s="4" t="s">
        <v>49</v>
      </c>
      <c r="L15">
        <f t="shared" si="0"/>
        <v>7251.18</v>
      </c>
      <c r="M15">
        <f t="shared" si="1"/>
        <v>13</v>
      </c>
    </row>
    <row r="16" spans="1:26" ht="14.4" x14ac:dyDescent="0.3">
      <c r="A16" t="s">
        <v>43</v>
      </c>
      <c r="B16" t="s">
        <v>44</v>
      </c>
      <c r="C16" t="s">
        <v>26</v>
      </c>
      <c r="D16" t="s">
        <v>29</v>
      </c>
      <c r="E16">
        <v>521.66999999999996</v>
      </c>
      <c r="F16">
        <v>15</v>
      </c>
      <c r="G16">
        <v>0.15</v>
      </c>
      <c r="H16" s="33">
        <v>45409</v>
      </c>
      <c r="I16">
        <f>Table2[[#This Row],[Sales]]*(1-Table2[[#This Row],[Discount]])</f>
        <v>443.41949999999997</v>
      </c>
      <c r="K16" s="4" t="s">
        <v>50</v>
      </c>
      <c r="L16">
        <f t="shared" si="0"/>
        <v>8090.12</v>
      </c>
      <c r="M16">
        <f t="shared" si="1"/>
        <v>9</v>
      </c>
    </row>
    <row r="17" spans="1:13" ht="14.4" x14ac:dyDescent="0.3">
      <c r="A17" t="s">
        <v>21</v>
      </c>
      <c r="B17" t="s">
        <v>45</v>
      </c>
      <c r="C17" t="s">
        <v>22</v>
      </c>
      <c r="D17" t="s">
        <v>23</v>
      </c>
      <c r="E17">
        <v>1502.93</v>
      </c>
      <c r="F17">
        <v>14</v>
      </c>
      <c r="G17">
        <v>0.2</v>
      </c>
      <c r="H17" s="33">
        <v>45410</v>
      </c>
      <c r="I17">
        <f>Table2[[#This Row],[Sales]]*(1-Table2[[#This Row],[Discount]])</f>
        <v>1202.3440000000001</v>
      </c>
      <c r="K17" s="4" t="s">
        <v>52</v>
      </c>
      <c r="L17">
        <f t="shared" si="0"/>
        <v>5801.29</v>
      </c>
      <c r="M17">
        <f t="shared" si="1"/>
        <v>16</v>
      </c>
    </row>
    <row r="18" spans="1:13" ht="14.4" x14ac:dyDescent="0.3">
      <c r="A18" t="s">
        <v>46</v>
      </c>
      <c r="B18" t="s">
        <v>16</v>
      </c>
      <c r="C18" t="s">
        <v>22</v>
      </c>
      <c r="D18" t="s">
        <v>13</v>
      </c>
      <c r="E18">
        <v>877.58</v>
      </c>
      <c r="F18">
        <v>10</v>
      </c>
      <c r="G18">
        <v>0.15</v>
      </c>
      <c r="H18" s="33">
        <v>45411</v>
      </c>
      <c r="I18">
        <f>Table2[[#This Row],[Sales]]*(1-Table2[[#This Row],[Discount]])</f>
        <v>745.94299999999998</v>
      </c>
      <c r="K18" s="4" t="s">
        <v>53</v>
      </c>
      <c r="L18">
        <f t="shared" si="0"/>
        <v>1450.99</v>
      </c>
      <c r="M18">
        <f t="shared" si="1"/>
        <v>26</v>
      </c>
    </row>
    <row r="19" spans="1:13" ht="14.4" x14ac:dyDescent="0.3">
      <c r="A19" t="s">
        <v>30</v>
      </c>
      <c r="B19" t="s">
        <v>47</v>
      </c>
      <c r="C19" t="s">
        <v>12</v>
      </c>
      <c r="D19" t="s">
        <v>13</v>
      </c>
      <c r="E19">
        <v>636.70000000000005</v>
      </c>
      <c r="F19">
        <v>4</v>
      </c>
      <c r="G19">
        <v>0.2</v>
      </c>
      <c r="H19" s="33">
        <v>45411</v>
      </c>
      <c r="I19">
        <f>Table2[[#This Row],[Sales]]*(1-Table2[[#This Row],[Discount]])</f>
        <v>509.36000000000007</v>
      </c>
      <c r="K19" s="4" t="s">
        <v>55</v>
      </c>
      <c r="L19">
        <f t="shared" si="0"/>
        <v>7522.77</v>
      </c>
      <c r="M19">
        <f t="shared" si="1"/>
        <v>11</v>
      </c>
    </row>
    <row r="20" spans="1:13" ht="14.4" x14ac:dyDescent="0.3">
      <c r="A20" t="s">
        <v>48</v>
      </c>
      <c r="B20" t="s">
        <v>49</v>
      </c>
      <c r="C20" t="s">
        <v>12</v>
      </c>
      <c r="D20" t="s">
        <v>13</v>
      </c>
      <c r="E20">
        <v>1506.14</v>
      </c>
      <c r="F20">
        <v>13</v>
      </c>
      <c r="G20">
        <v>0.2</v>
      </c>
      <c r="H20" s="33">
        <v>45412</v>
      </c>
      <c r="I20">
        <f>Table2[[#This Row],[Sales]]*(1-Table2[[#This Row],[Discount]])</f>
        <v>1204.912</v>
      </c>
      <c r="K20" s="4" t="s">
        <v>57</v>
      </c>
      <c r="L20">
        <f t="shared" si="0"/>
        <v>11915.829999999998</v>
      </c>
      <c r="M20">
        <f t="shared" si="1"/>
        <v>3</v>
      </c>
    </row>
    <row r="21" spans="1:13" ht="15.75" customHeight="1" x14ac:dyDescent="0.3">
      <c r="A21" t="s">
        <v>32</v>
      </c>
      <c r="B21" t="s">
        <v>33</v>
      </c>
      <c r="C21" t="s">
        <v>36</v>
      </c>
      <c r="D21" t="s">
        <v>23</v>
      </c>
      <c r="E21">
        <v>645.02</v>
      </c>
      <c r="F21">
        <v>4</v>
      </c>
      <c r="G21">
        <v>0</v>
      </c>
      <c r="H21" s="33">
        <v>45414</v>
      </c>
      <c r="I21">
        <f>Table2[[#This Row],[Sales]]*(1-Table2[[#This Row],[Discount]])</f>
        <v>645.02</v>
      </c>
      <c r="K21" s="4" t="s">
        <v>58</v>
      </c>
      <c r="L21">
        <f t="shared" si="0"/>
        <v>3819.1400000000003</v>
      </c>
      <c r="M21">
        <f t="shared" si="1"/>
        <v>23</v>
      </c>
    </row>
    <row r="22" spans="1:13" ht="15.75" customHeight="1" x14ac:dyDescent="0.3">
      <c r="A22" t="s">
        <v>27</v>
      </c>
      <c r="B22" t="s">
        <v>50</v>
      </c>
      <c r="C22" t="s">
        <v>22</v>
      </c>
      <c r="D22" t="s">
        <v>17</v>
      </c>
      <c r="E22">
        <v>953.3</v>
      </c>
      <c r="F22">
        <v>11</v>
      </c>
      <c r="G22">
        <v>0</v>
      </c>
      <c r="H22" s="33">
        <v>45415</v>
      </c>
      <c r="I22">
        <f>Table2[[#This Row],[Sales]]*(1-Table2[[#This Row],[Discount]])</f>
        <v>953.3</v>
      </c>
      <c r="K22" s="4" t="s">
        <v>61</v>
      </c>
      <c r="L22">
        <f t="shared" si="0"/>
        <v>5443.34</v>
      </c>
      <c r="M22">
        <f t="shared" si="1"/>
        <v>20</v>
      </c>
    </row>
    <row r="23" spans="1:13" ht="15.75" customHeight="1" x14ac:dyDescent="0.3">
      <c r="A23" t="s">
        <v>51</v>
      </c>
      <c r="B23" t="s">
        <v>16</v>
      </c>
      <c r="C23" t="s">
        <v>26</v>
      </c>
      <c r="D23" t="s">
        <v>23</v>
      </c>
      <c r="E23">
        <v>388.56</v>
      </c>
      <c r="F23">
        <v>14</v>
      </c>
      <c r="G23">
        <v>0.15</v>
      </c>
      <c r="H23" s="33">
        <v>45416</v>
      </c>
      <c r="I23">
        <f>Table2[[#This Row],[Sales]]*(1-Table2[[#This Row],[Discount]])</f>
        <v>330.27600000000001</v>
      </c>
      <c r="K23" s="4" t="s">
        <v>63</v>
      </c>
      <c r="L23">
        <f t="shared" si="0"/>
        <v>8543.9699999999993</v>
      </c>
      <c r="M23">
        <f t="shared" si="1"/>
        <v>7</v>
      </c>
    </row>
    <row r="24" spans="1:13" ht="15.75" customHeight="1" x14ac:dyDescent="0.3">
      <c r="A24" t="s">
        <v>10</v>
      </c>
      <c r="B24" t="s">
        <v>33</v>
      </c>
      <c r="C24" t="s">
        <v>12</v>
      </c>
      <c r="D24" t="s">
        <v>13</v>
      </c>
      <c r="E24">
        <v>743.17</v>
      </c>
      <c r="F24">
        <v>9</v>
      </c>
      <c r="G24">
        <v>0</v>
      </c>
      <c r="H24" s="33">
        <v>45416</v>
      </c>
      <c r="I24">
        <f>Table2[[#This Row],[Sales]]*(1-Table2[[#This Row],[Discount]])</f>
        <v>743.17</v>
      </c>
      <c r="K24" s="4" t="s">
        <v>64</v>
      </c>
      <c r="L24">
        <f t="shared" si="0"/>
        <v>856.7</v>
      </c>
      <c r="M24">
        <f t="shared" si="1"/>
        <v>27</v>
      </c>
    </row>
    <row r="25" spans="1:13" ht="15.75" customHeight="1" x14ac:dyDescent="0.3">
      <c r="A25" t="s">
        <v>42</v>
      </c>
      <c r="B25" t="s">
        <v>33</v>
      </c>
      <c r="C25" t="s">
        <v>36</v>
      </c>
      <c r="D25" t="s">
        <v>23</v>
      </c>
      <c r="E25">
        <v>706.37</v>
      </c>
      <c r="F25">
        <v>6</v>
      </c>
      <c r="G25">
        <v>0</v>
      </c>
      <c r="H25" s="33">
        <v>45416</v>
      </c>
      <c r="I25">
        <f>Table2[[#This Row],[Sales]]*(1-Table2[[#This Row],[Discount]])</f>
        <v>706.37</v>
      </c>
      <c r="K25" s="4" t="s">
        <v>66</v>
      </c>
      <c r="L25">
        <f t="shared" si="0"/>
        <v>5771.59</v>
      </c>
      <c r="M25">
        <f t="shared" si="1"/>
        <v>17</v>
      </c>
    </row>
    <row r="26" spans="1:13" ht="15.75" customHeight="1" x14ac:dyDescent="0.3">
      <c r="A26" t="s">
        <v>15</v>
      </c>
      <c r="B26" t="s">
        <v>33</v>
      </c>
      <c r="C26" t="s">
        <v>36</v>
      </c>
      <c r="D26" t="s">
        <v>41</v>
      </c>
      <c r="E26">
        <v>925.31</v>
      </c>
      <c r="F26">
        <v>8</v>
      </c>
      <c r="G26">
        <v>0.1</v>
      </c>
      <c r="H26" s="33">
        <v>45418</v>
      </c>
      <c r="I26">
        <f>Table2[[#This Row],[Sales]]*(1-Table2[[#This Row],[Discount]])</f>
        <v>832.779</v>
      </c>
      <c r="K26" s="4" t="s">
        <v>68</v>
      </c>
      <c r="L26">
        <f t="shared" si="0"/>
        <v>5014.96</v>
      </c>
      <c r="M26">
        <f t="shared" si="1"/>
        <v>21</v>
      </c>
    </row>
    <row r="27" spans="1:13" ht="15.75" customHeight="1" x14ac:dyDescent="0.3">
      <c r="A27" t="s">
        <v>37</v>
      </c>
      <c r="B27" t="s">
        <v>52</v>
      </c>
      <c r="C27" t="s">
        <v>22</v>
      </c>
      <c r="D27" t="s">
        <v>23</v>
      </c>
      <c r="E27">
        <v>1173.1199999999999</v>
      </c>
      <c r="F27">
        <v>18</v>
      </c>
      <c r="G27">
        <v>0</v>
      </c>
      <c r="H27" s="33">
        <v>45418</v>
      </c>
      <c r="I27">
        <f>Table2[[#This Row],[Sales]]*(1-Table2[[#This Row],[Discount]])</f>
        <v>1173.1199999999999</v>
      </c>
      <c r="K27" s="4" t="s">
        <v>71</v>
      </c>
      <c r="L27">
        <f t="shared" si="0"/>
        <v>2304.9</v>
      </c>
      <c r="M27">
        <f t="shared" si="1"/>
        <v>24</v>
      </c>
    </row>
    <row r="28" spans="1:13" ht="15.75" customHeight="1" x14ac:dyDescent="0.3">
      <c r="A28" t="s">
        <v>24</v>
      </c>
      <c r="B28" t="s">
        <v>53</v>
      </c>
      <c r="C28" t="s">
        <v>26</v>
      </c>
      <c r="D28" t="s">
        <v>29</v>
      </c>
      <c r="E28">
        <v>675.54</v>
      </c>
      <c r="F28">
        <v>17</v>
      </c>
      <c r="G28">
        <v>0</v>
      </c>
      <c r="H28" s="33">
        <v>45420</v>
      </c>
      <c r="I28">
        <f>Table2[[#This Row],[Sales]]*(1-Table2[[#This Row],[Discount]])</f>
        <v>675.54</v>
      </c>
      <c r="K28" s="4" t="s">
        <v>73</v>
      </c>
      <c r="L28">
        <f t="shared" si="0"/>
        <v>5465.71</v>
      </c>
      <c r="M28">
        <f t="shared" si="1"/>
        <v>19</v>
      </c>
    </row>
    <row r="29" spans="1:13" ht="15.75" customHeight="1" x14ac:dyDescent="0.3">
      <c r="A29" t="s">
        <v>27</v>
      </c>
      <c r="B29" t="s">
        <v>16</v>
      </c>
      <c r="C29" t="s">
        <v>36</v>
      </c>
      <c r="D29" t="s">
        <v>13</v>
      </c>
      <c r="E29">
        <v>939.09</v>
      </c>
      <c r="F29">
        <v>2</v>
      </c>
      <c r="G29">
        <v>0.05</v>
      </c>
      <c r="H29" s="33">
        <v>45422</v>
      </c>
      <c r="I29">
        <f>Table2[[#This Row],[Sales]]*(1-Table2[[#This Row],[Discount]])</f>
        <v>892.13549999999998</v>
      </c>
    </row>
    <row r="30" spans="1:13" ht="15.75" customHeight="1" x14ac:dyDescent="0.3">
      <c r="A30" t="s">
        <v>54</v>
      </c>
      <c r="B30" t="s">
        <v>55</v>
      </c>
      <c r="C30" t="s">
        <v>20</v>
      </c>
      <c r="D30" t="s">
        <v>41</v>
      </c>
      <c r="E30">
        <v>983.34</v>
      </c>
      <c r="F30">
        <v>19</v>
      </c>
      <c r="G30">
        <v>0.1</v>
      </c>
      <c r="H30" s="33">
        <v>45426</v>
      </c>
      <c r="I30">
        <f>Table2[[#This Row],[Sales]]*(1-Table2[[#This Row],[Discount]])</f>
        <v>885.00600000000009</v>
      </c>
    </row>
    <row r="31" spans="1:13" ht="15.75" customHeight="1" x14ac:dyDescent="0.3">
      <c r="A31" t="s">
        <v>54</v>
      </c>
      <c r="B31" t="s">
        <v>25</v>
      </c>
      <c r="C31" t="s">
        <v>22</v>
      </c>
      <c r="D31" t="s">
        <v>23</v>
      </c>
      <c r="E31">
        <v>801.21</v>
      </c>
      <c r="F31">
        <v>3</v>
      </c>
      <c r="G31">
        <v>0.2</v>
      </c>
      <c r="H31" s="33">
        <v>45426</v>
      </c>
      <c r="I31">
        <f>Table2[[#This Row],[Sales]]*(1-Table2[[#This Row],[Discount]])</f>
        <v>640.96800000000007</v>
      </c>
    </row>
    <row r="32" spans="1:13" ht="15.75" customHeight="1" x14ac:dyDescent="0.3">
      <c r="A32" t="s">
        <v>56</v>
      </c>
      <c r="B32" t="s">
        <v>57</v>
      </c>
      <c r="C32" t="s">
        <v>26</v>
      </c>
      <c r="D32" t="s">
        <v>23</v>
      </c>
      <c r="E32">
        <v>1450.71</v>
      </c>
      <c r="F32">
        <v>5</v>
      </c>
      <c r="G32">
        <v>0.1</v>
      </c>
      <c r="H32" s="33">
        <v>45427</v>
      </c>
      <c r="I32">
        <f>Table2[[#This Row],[Sales]]*(1-Table2[[#This Row],[Discount]])</f>
        <v>1305.6390000000001</v>
      </c>
    </row>
    <row r="33" spans="1:9" ht="15.75" customHeight="1" x14ac:dyDescent="0.3">
      <c r="A33" t="s">
        <v>51</v>
      </c>
      <c r="B33" t="s">
        <v>58</v>
      </c>
      <c r="C33" t="s">
        <v>36</v>
      </c>
      <c r="D33" t="s">
        <v>13</v>
      </c>
      <c r="E33">
        <v>1023.21</v>
      </c>
      <c r="F33">
        <v>18</v>
      </c>
      <c r="G33">
        <v>0.05</v>
      </c>
      <c r="H33" s="33">
        <v>45428</v>
      </c>
      <c r="I33">
        <f>Table2[[#This Row],[Sales]]*(1-Table2[[#This Row],[Discount]])</f>
        <v>972.04949999999997</v>
      </c>
    </row>
    <row r="34" spans="1:9" ht="15.75" customHeight="1" x14ac:dyDescent="0.3">
      <c r="A34" t="s">
        <v>30</v>
      </c>
      <c r="B34" t="s">
        <v>49</v>
      </c>
      <c r="C34" t="s">
        <v>12</v>
      </c>
      <c r="D34" t="s">
        <v>29</v>
      </c>
      <c r="E34">
        <v>853.72</v>
      </c>
      <c r="F34">
        <v>5</v>
      </c>
      <c r="G34">
        <v>0.15</v>
      </c>
      <c r="H34" s="33">
        <v>45428</v>
      </c>
      <c r="I34">
        <f>Table2[[#This Row],[Sales]]*(1-Table2[[#This Row],[Discount]])</f>
        <v>725.66200000000003</v>
      </c>
    </row>
    <row r="35" spans="1:9" ht="15.75" customHeight="1" x14ac:dyDescent="0.3">
      <c r="A35" t="s">
        <v>59</v>
      </c>
      <c r="B35" t="s">
        <v>45</v>
      </c>
      <c r="C35" t="s">
        <v>22</v>
      </c>
      <c r="D35" t="s">
        <v>23</v>
      </c>
      <c r="E35">
        <v>967.89</v>
      </c>
      <c r="F35">
        <v>10</v>
      </c>
      <c r="G35">
        <v>0.1</v>
      </c>
      <c r="H35" s="33">
        <v>45429</v>
      </c>
      <c r="I35">
        <f>Table2[[#This Row],[Sales]]*(1-Table2[[#This Row],[Discount]])</f>
        <v>871.101</v>
      </c>
    </row>
    <row r="36" spans="1:9" ht="15.75" customHeight="1" x14ac:dyDescent="0.3">
      <c r="A36" t="s">
        <v>60</v>
      </c>
      <c r="B36" t="s">
        <v>55</v>
      </c>
      <c r="C36" t="s">
        <v>26</v>
      </c>
      <c r="D36" t="s">
        <v>41</v>
      </c>
      <c r="E36">
        <v>1200.9000000000001</v>
      </c>
      <c r="F36">
        <v>14</v>
      </c>
      <c r="G36">
        <v>0.05</v>
      </c>
      <c r="H36" s="33">
        <v>45429</v>
      </c>
      <c r="I36">
        <f>Table2[[#This Row],[Sales]]*(1-Table2[[#This Row],[Discount]])</f>
        <v>1140.855</v>
      </c>
    </row>
    <row r="37" spans="1:9" ht="15.75" customHeight="1" x14ac:dyDescent="0.3">
      <c r="A37" t="s">
        <v>15</v>
      </c>
      <c r="B37" t="s">
        <v>28</v>
      </c>
      <c r="C37" t="s">
        <v>12</v>
      </c>
      <c r="D37" t="s">
        <v>13</v>
      </c>
      <c r="E37">
        <v>472.38</v>
      </c>
      <c r="F37">
        <v>12</v>
      </c>
      <c r="G37">
        <v>0.2</v>
      </c>
      <c r="H37" s="33">
        <v>45429</v>
      </c>
      <c r="I37">
        <f>Table2[[#This Row],[Sales]]*(1-Table2[[#This Row],[Discount]])</f>
        <v>377.904</v>
      </c>
    </row>
    <row r="38" spans="1:9" ht="15.75" customHeight="1" x14ac:dyDescent="0.3">
      <c r="A38" t="s">
        <v>10</v>
      </c>
      <c r="B38" t="s">
        <v>57</v>
      </c>
      <c r="C38" t="s">
        <v>20</v>
      </c>
      <c r="D38" t="s">
        <v>41</v>
      </c>
      <c r="E38">
        <v>840.92</v>
      </c>
      <c r="F38">
        <v>9</v>
      </c>
      <c r="G38">
        <v>0.05</v>
      </c>
      <c r="H38" s="33">
        <v>45429</v>
      </c>
      <c r="I38">
        <f>Table2[[#This Row],[Sales]]*(1-Table2[[#This Row],[Discount]])</f>
        <v>798.87399999999991</v>
      </c>
    </row>
    <row r="39" spans="1:9" ht="15.75" customHeight="1" x14ac:dyDescent="0.3">
      <c r="A39" t="s">
        <v>54</v>
      </c>
      <c r="B39" t="s">
        <v>50</v>
      </c>
      <c r="C39" t="s">
        <v>36</v>
      </c>
      <c r="D39" t="s">
        <v>29</v>
      </c>
      <c r="E39">
        <v>1410.06</v>
      </c>
      <c r="F39">
        <v>11</v>
      </c>
      <c r="G39">
        <v>0.05</v>
      </c>
      <c r="H39" s="33">
        <v>45434</v>
      </c>
      <c r="I39">
        <f>Table2[[#This Row],[Sales]]*(1-Table2[[#This Row],[Discount]])</f>
        <v>1339.5569999999998</v>
      </c>
    </row>
    <row r="40" spans="1:9" ht="15.75" customHeight="1" x14ac:dyDescent="0.3">
      <c r="A40" t="s">
        <v>46</v>
      </c>
      <c r="B40" t="s">
        <v>61</v>
      </c>
      <c r="C40" t="s">
        <v>36</v>
      </c>
      <c r="D40" t="s">
        <v>29</v>
      </c>
      <c r="E40">
        <v>773.09</v>
      </c>
      <c r="F40">
        <v>13</v>
      </c>
      <c r="G40">
        <v>0.15</v>
      </c>
      <c r="H40" s="33">
        <v>45434</v>
      </c>
      <c r="I40">
        <f>Table2[[#This Row],[Sales]]*(1-Table2[[#This Row],[Discount]])</f>
        <v>657.12649999999996</v>
      </c>
    </row>
    <row r="41" spans="1:9" ht="15.75" customHeight="1" x14ac:dyDescent="0.3">
      <c r="A41" t="s">
        <v>62</v>
      </c>
      <c r="B41" t="s">
        <v>63</v>
      </c>
      <c r="C41" t="s">
        <v>20</v>
      </c>
      <c r="D41" t="s">
        <v>13</v>
      </c>
      <c r="E41">
        <v>580.42999999999995</v>
      </c>
      <c r="F41">
        <v>19</v>
      </c>
      <c r="G41">
        <v>0.15</v>
      </c>
      <c r="H41" s="33">
        <v>45435</v>
      </c>
      <c r="I41">
        <f>Table2[[#This Row],[Sales]]*(1-Table2[[#This Row],[Discount]])</f>
        <v>493.36549999999994</v>
      </c>
    </row>
    <row r="42" spans="1:9" ht="15.75" customHeight="1" x14ac:dyDescent="0.3">
      <c r="A42" t="s">
        <v>21</v>
      </c>
      <c r="B42" t="s">
        <v>44</v>
      </c>
      <c r="C42" t="s">
        <v>22</v>
      </c>
      <c r="D42" t="s">
        <v>13</v>
      </c>
      <c r="E42">
        <v>1151.21</v>
      </c>
      <c r="F42">
        <v>15</v>
      </c>
      <c r="G42">
        <v>0.1</v>
      </c>
      <c r="H42" s="33">
        <v>45445</v>
      </c>
      <c r="I42">
        <f>Table2[[#This Row],[Sales]]*(1-Table2[[#This Row],[Discount]])</f>
        <v>1036.0890000000002</v>
      </c>
    </row>
    <row r="43" spans="1:9" ht="15.75" customHeight="1" x14ac:dyDescent="0.3">
      <c r="A43" t="s">
        <v>54</v>
      </c>
      <c r="B43" t="s">
        <v>25</v>
      </c>
      <c r="C43" t="s">
        <v>36</v>
      </c>
      <c r="D43" t="s">
        <v>41</v>
      </c>
      <c r="E43">
        <v>1025.98</v>
      </c>
      <c r="F43">
        <v>5</v>
      </c>
      <c r="G43">
        <v>0.2</v>
      </c>
      <c r="H43" s="33">
        <v>45447</v>
      </c>
      <c r="I43">
        <f>Table2[[#This Row],[Sales]]*(1-Table2[[#This Row],[Discount]])</f>
        <v>820.78400000000011</v>
      </c>
    </row>
    <row r="44" spans="1:9" ht="15.75" customHeight="1" x14ac:dyDescent="0.3">
      <c r="A44" t="s">
        <v>42</v>
      </c>
      <c r="B44" t="s">
        <v>58</v>
      </c>
      <c r="C44" t="s">
        <v>20</v>
      </c>
      <c r="D44" t="s">
        <v>41</v>
      </c>
      <c r="E44">
        <v>556.41999999999996</v>
      </c>
      <c r="F44">
        <v>11</v>
      </c>
      <c r="G44">
        <v>0.15</v>
      </c>
      <c r="H44" s="33">
        <v>45447</v>
      </c>
      <c r="I44">
        <f>Table2[[#This Row],[Sales]]*(1-Table2[[#This Row],[Discount]])</f>
        <v>472.95699999999994</v>
      </c>
    </row>
    <row r="45" spans="1:9" ht="15.75" customHeight="1" x14ac:dyDescent="0.3">
      <c r="A45" t="s">
        <v>59</v>
      </c>
      <c r="B45" t="s">
        <v>25</v>
      </c>
      <c r="C45" t="s">
        <v>36</v>
      </c>
      <c r="D45" t="s">
        <v>13</v>
      </c>
      <c r="E45">
        <v>840.85</v>
      </c>
      <c r="F45">
        <v>19</v>
      </c>
      <c r="G45">
        <v>0.1</v>
      </c>
      <c r="H45" s="33">
        <v>45448</v>
      </c>
      <c r="I45">
        <f>Table2[[#This Row],[Sales]]*(1-Table2[[#This Row],[Discount]])</f>
        <v>756.76499999999999</v>
      </c>
    </row>
    <row r="46" spans="1:9" ht="15.75" customHeight="1" x14ac:dyDescent="0.3">
      <c r="A46" t="s">
        <v>32</v>
      </c>
      <c r="B46" t="s">
        <v>63</v>
      </c>
      <c r="C46" t="s">
        <v>26</v>
      </c>
      <c r="D46" t="s">
        <v>29</v>
      </c>
      <c r="E46">
        <v>1227.25</v>
      </c>
      <c r="F46">
        <v>12</v>
      </c>
      <c r="G46">
        <v>0.15</v>
      </c>
      <c r="H46" s="33">
        <v>45448</v>
      </c>
      <c r="I46">
        <f>Table2[[#This Row],[Sales]]*(1-Table2[[#This Row],[Discount]])</f>
        <v>1043.1624999999999</v>
      </c>
    </row>
    <row r="47" spans="1:9" ht="15.75" customHeight="1" x14ac:dyDescent="0.3">
      <c r="A47" t="s">
        <v>18</v>
      </c>
      <c r="B47" t="s">
        <v>64</v>
      </c>
      <c r="C47" t="s">
        <v>36</v>
      </c>
      <c r="D47" t="s">
        <v>23</v>
      </c>
      <c r="E47">
        <v>856.7</v>
      </c>
      <c r="F47">
        <v>2</v>
      </c>
      <c r="G47">
        <v>0</v>
      </c>
      <c r="H47" s="33">
        <v>45449</v>
      </c>
      <c r="I47">
        <f>Table2[[#This Row],[Sales]]*(1-Table2[[#This Row],[Discount]])</f>
        <v>856.7</v>
      </c>
    </row>
    <row r="48" spans="1:9" ht="15.75" customHeight="1" x14ac:dyDescent="0.3">
      <c r="A48" t="s">
        <v>56</v>
      </c>
      <c r="B48" t="s">
        <v>58</v>
      </c>
      <c r="C48" t="s">
        <v>36</v>
      </c>
      <c r="D48" t="s">
        <v>41</v>
      </c>
      <c r="E48">
        <v>1225.42</v>
      </c>
      <c r="F48">
        <v>8</v>
      </c>
      <c r="G48">
        <v>0.15</v>
      </c>
      <c r="H48" s="33">
        <v>45449</v>
      </c>
      <c r="I48">
        <f>Table2[[#This Row],[Sales]]*(1-Table2[[#This Row],[Discount]])</f>
        <v>1041.607</v>
      </c>
    </row>
    <row r="49" spans="1:9" ht="15.75" customHeight="1" x14ac:dyDescent="0.3">
      <c r="A49" t="s">
        <v>65</v>
      </c>
      <c r="B49" t="s">
        <v>33</v>
      </c>
      <c r="C49" t="s">
        <v>26</v>
      </c>
      <c r="D49" t="s">
        <v>41</v>
      </c>
      <c r="E49">
        <v>1001.57</v>
      </c>
      <c r="F49">
        <v>12</v>
      </c>
      <c r="G49">
        <v>0</v>
      </c>
      <c r="H49" s="33">
        <v>45450</v>
      </c>
      <c r="I49">
        <f>Table2[[#This Row],[Sales]]*(1-Table2[[#This Row],[Discount]])</f>
        <v>1001.57</v>
      </c>
    </row>
    <row r="50" spans="1:9" ht="15.75" customHeight="1" x14ac:dyDescent="0.3">
      <c r="A50" t="s">
        <v>59</v>
      </c>
      <c r="B50" t="s">
        <v>28</v>
      </c>
      <c r="C50" t="s">
        <v>20</v>
      </c>
      <c r="D50" t="s">
        <v>29</v>
      </c>
      <c r="E50">
        <v>1186.8499999999999</v>
      </c>
      <c r="F50">
        <v>19</v>
      </c>
      <c r="G50">
        <v>0.2</v>
      </c>
      <c r="H50" s="33">
        <v>45451</v>
      </c>
      <c r="I50">
        <f>Table2[[#This Row],[Sales]]*(1-Table2[[#This Row],[Discount]])</f>
        <v>949.48</v>
      </c>
    </row>
    <row r="51" spans="1:9" ht="15.75" customHeight="1" x14ac:dyDescent="0.3">
      <c r="A51" t="s">
        <v>46</v>
      </c>
      <c r="B51" t="s">
        <v>53</v>
      </c>
      <c r="C51" t="s">
        <v>22</v>
      </c>
      <c r="D51" t="s">
        <v>23</v>
      </c>
      <c r="E51">
        <v>775.45</v>
      </c>
      <c r="F51">
        <v>6</v>
      </c>
      <c r="G51">
        <v>0.1</v>
      </c>
      <c r="H51" s="33">
        <v>45457</v>
      </c>
      <c r="I51">
        <f>Table2[[#This Row],[Sales]]*(1-Table2[[#This Row],[Discount]])</f>
        <v>697.90500000000009</v>
      </c>
    </row>
    <row r="52" spans="1:9" ht="15.75" customHeight="1" x14ac:dyDescent="0.3">
      <c r="A52" t="s">
        <v>27</v>
      </c>
      <c r="B52" t="s">
        <v>35</v>
      </c>
      <c r="C52" t="s">
        <v>22</v>
      </c>
      <c r="D52" t="s">
        <v>23</v>
      </c>
      <c r="E52">
        <v>1021.47</v>
      </c>
      <c r="F52">
        <v>6</v>
      </c>
      <c r="G52">
        <v>0.05</v>
      </c>
      <c r="H52" s="33">
        <v>45461</v>
      </c>
      <c r="I52">
        <f>Table2[[#This Row],[Sales]]*(1-Table2[[#This Row],[Discount]])</f>
        <v>970.39649999999995</v>
      </c>
    </row>
    <row r="53" spans="1:9" ht="15.75" customHeight="1" x14ac:dyDescent="0.3">
      <c r="A53" t="s">
        <v>60</v>
      </c>
      <c r="B53" t="s">
        <v>25</v>
      </c>
      <c r="C53" t="s">
        <v>22</v>
      </c>
      <c r="D53" t="s">
        <v>17</v>
      </c>
      <c r="E53">
        <v>1226.6199999999999</v>
      </c>
      <c r="F53">
        <v>7</v>
      </c>
      <c r="G53">
        <v>0.1</v>
      </c>
      <c r="H53" s="33">
        <v>45463</v>
      </c>
      <c r="I53">
        <f>Table2[[#This Row],[Sales]]*(1-Table2[[#This Row],[Discount]])</f>
        <v>1103.9579999999999</v>
      </c>
    </row>
    <row r="54" spans="1:9" ht="15.75" customHeight="1" x14ac:dyDescent="0.3">
      <c r="A54" t="s">
        <v>24</v>
      </c>
      <c r="B54" t="s">
        <v>66</v>
      </c>
      <c r="C54" t="s">
        <v>22</v>
      </c>
      <c r="D54" t="s">
        <v>29</v>
      </c>
      <c r="E54">
        <v>1086.93</v>
      </c>
      <c r="F54">
        <v>2</v>
      </c>
      <c r="G54">
        <v>0</v>
      </c>
      <c r="H54" s="33">
        <v>45464</v>
      </c>
      <c r="I54">
        <f>Table2[[#This Row],[Sales]]*(1-Table2[[#This Row],[Discount]])</f>
        <v>1086.93</v>
      </c>
    </row>
    <row r="55" spans="1:9" ht="15.75" customHeight="1" x14ac:dyDescent="0.3">
      <c r="A55" t="s">
        <v>67</v>
      </c>
      <c r="B55" t="s">
        <v>50</v>
      </c>
      <c r="C55" t="s">
        <v>12</v>
      </c>
      <c r="D55" t="s">
        <v>13</v>
      </c>
      <c r="E55">
        <v>942.9</v>
      </c>
      <c r="F55">
        <v>18</v>
      </c>
      <c r="G55">
        <v>0.1</v>
      </c>
      <c r="H55" s="33">
        <v>45466</v>
      </c>
      <c r="I55">
        <f>Table2[[#This Row],[Sales]]*(1-Table2[[#This Row],[Discount]])</f>
        <v>848.61</v>
      </c>
    </row>
    <row r="56" spans="1:9" ht="15.75" customHeight="1" x14ac:dyDescent="0.3">
      <c r="A56" t="s">
        <v>34</v>
      </c>
      <c r="B56" t="s">
        <v>40</v>
      </c>
      <c r="C56" t="s">
        <v>26</v>
      </c>
      <c r="D56" t="s">
        <v>23</v>
      </c>
      <c r="E56">
        <v>818.8</v>
      </c>
      <c r="F56">
        <v>15</v>
      </c>
      <c r="G56">
        <v>0.15</v>
      </c>
      <c r="H56" s="33">
        <v>45468</v>
      </c>
      <c r="I56">
        <f>Table2[[#This Row],[Sales]]*(1-Table2[[#This Row],[Discount]])</f>
        <v>695.9799999999999</v>
      </c>
    </row>
    <row r="57" spans="1:9" ht="15.75" customHeight="1" x14ac:dyDescent="0.3">
      <c r="A57" t="s">
        <v>21</v>
      </c>
      <c r="B57" t="s">
        <v>16</v>
      </c>
      <c r="C57" t="s">
        <v>22</v>
      </c>
      <c r="D57" t="s">
        <v>29</v>
      </c>
      <c r="E57">
        <v>919.04</v>
      </c>
      <c r="F57">
        <v>10</v>
      </c>
      <c r="G57">
        <v>0.2</v>
      </c>
      <c r="H57" s="33">
        <v>45468</v>
      </c>
      <c r="I57">
        <f>Table2[[#This Row],[Sales]]*(1-Table2[[#This Row],[Discount]])</f>
        <v>735.23199999999997</v>
      </c>
    </row>
    <row r="58" spans="1:9" ht="15.75" customHeight="1" x14ac:dyDescent="0.3">
      <c r="A58" t="s">
        <v>24</v>
      </c>
      <c r="B58" t="s">
        <v>68</v>
      </c>
      <c r="C58" t="s">
        <v>36</v>
      </c>
      <c r="D58" t="s">
        <v>13</v>
      </c>
      <c r="E58">
        <v>973.26</v>
      </c>
      <c r="F58">
        <v>11</v>
      </c>
      <c r="G58">
        <v>0</v>
      </c>
      <c r="H58" s="33">
        <v>45470</v>
      </c>
      <c r="I58">
        <f>Table2[[#This Row],[Sales]]*(1-Table2[[#This Row],[Discount]])</f>
        <v>973.26</v>
      </c>
    </row>
    <row r="59" spans="1:9" ht="15.75" customHeight="1" x14ac:dyDescent="0.3">
      <c r="A59" t="s">
        <v>43</v>
      </c>
      <c r="B59" t="s">
        <v>66</v>
      </c>
      <c r="C59" t="s">
        <v>26</v>
      </c>
      <c r="D59" t="s">
        <v>23</v>
      </c>
      <c r="E59">
        <v>741.61</v>
      </c>
      <c r="F59">
        <v>1</v>
      </c>
      <c r="G59">
        <v>0.2</v>
      </c>
      <c r="H59" s="33">
        <v>45471</v>
      </c>
      <c r="I59">
        <f>Table2[[#This Row],[Sales]]*(1-Table2[[#This Row],[Discount]])</f>
        <v>593.28800000000001</v>
      </c>
    </row>
    <row r="60" spans="1:9" ht="15.75" customHeight="1" x14ac:dyDescent="0.3">
      <c r="A60" t="s">
        <v>69</v>
      </c>
      <c r="B60" t="s">
        <v>40</v>
      </c>
      <c r="C60" t="s">
        <v>26</v>
      </c>
      <c r="D60" t="s">
        <v>13</v>
      </c>
      <c r="E60">
        <v>1248.82</v>
      </c>
      <c r="F60">
        <v>2</v>
      </c>
      <c r="G60">
        <v>0.1</v>
      </c>
      <c r="H60" s="33">
        <v>45473</v>
      </c>
      <c r="I60">
        <f>Table2[[#This Row],[Sales]]*(1-Table2[[#This Row],[Discount]])</f>
        <v>1123.9379999999999</v>
      </c>
    </row>
    <row r="61" spans="1:9" ht="15.75" customHeight="1" x14ac:dyDescent="0.3">
      <c r="A61" t="s">
        <v>15</v>
      </c>
      <c r="B61" t="s">
        <v>61</v>
      </c>
      <c r="C61" t="s">
        <v>12</v>
      </c>
      <c r="D61" t="s">
        <v>17</v>
      </c>
      <c r="E61">
        <v>1360.36</v>
      </c>
      <c r="F61">
        <v>17</v>
      </c>
      <c r="G61">
        <v>0</v>
      </c>
      <c r="H61" s="33">
        <v>45473</v>
      </c>
      <c r="I61">
        <f>Table2[[#This Row],[Sales]]*(1-Table2[[#This Row],[Discount]])</f>
        <v>1360.36</v>
      </c>
    </row>
    <row r="62" spans="1:9" ht="15.75" customHeight="1" x14ac:dyDescent="0.3">
      <c r="A62" t="s">
        <v>59</v>
      </c>
      <c r="B62" t="s">
        <v>33</v>
      </c>
      <c r="C62" t="s">
        <v>20</v>
      </c>
      <c r="D62" t="s">
        <v>13</v>
      </c>
      <c r="E62">
        <v>1383.3</v>
      </c>
      <c r="F62">
        <v>8</v>
      </c>
      <c r="G62">
        <v>0.1</v>
      </c>
      <c r="H62" s="33">
        <v>45478</v>
      </c>
      <c r="I62">
        <f>Table2[[#This Row],[Sales]]*(1-Table2[[#This Row],[Discount]])</f>
        <v>1244.97</v>
      </c>
    </row>
    <row r="63" spans="1:9" ht="15.75" customHeight="1" x14ac:dyDescent="0.3">
      <c r="A63" t="s">
        <v>37</v>
      </c>
      <c r="B63" t="s">
        <v>57</v>
      </c>
      <c r="C63" t="s">
        <v>36</v>
      </c>
      <c r="D63" t="s">
        <v>41</v>
      </c>
      <c r="E63">
        <v>488.99</v>
      </c>
      <c r="F63">
        <v>9</v>
      </c>
      <c r="G63">
        <v>0</v>
      </c>
      <c r="H63" s="33">
        <v>45479</v>
      </c>
      <c r="I63">
        <f>Table2[[#This Row],[Sales]]*(1-Table2[[#This Row],[Discount]])</f>
        <v>488.99</v>
      </c>
    </row>
    <row r="64" spans="1:9" ht="15.75" customHeight="1" x14ac:dyDescent="0.3">
      <c r="A64" t="s">
        <v>32</v>
      </c>
      <c r="B64" t="s">
        <v>33</v>
      </c>
      <c r="C64" t="s">
        <v>20</v>
      </c>
      <c r="D64" t="s">
        <v>29</v>
      </c>
      <c r="E64">
        <v>933.71</v>
      </c>
      <c r="F64">
        <v>17</v>
      </c>
      <c r="G64">
        <v>0.1</v>
      </c>
      <c r="H64" s="33">
        <v>45481</v>
      </c>
      <c r="I64">
        <f>Table2[[#This Row],[Sales]]*(1-Table2[[#This Row],[Discount]])</f>
        <v>840.33900000000006</v>
      </c>
    </row>
    <row r="65" spans="1:9" ht="15.75" customHeight="1" x14ac:dyDescent="0.3">
      <c r="A65" t="s">
        <v>69</v>
      </c>
      <c r="B65" t="s">
        <v>11</v>
      </c>
      <c r="C65" t="s">
        <v>12</v>
      </c>
      <c r="D65" t="s">
        <v>23</v>
      </c>
      <c r="E65">
        <v>1005.53</v>
      </c>
      <c r="F65">
        <v>17</v>
      </c>
      <c r="G65">
        <v>0.2</v>
      </c>
      <c r="H65" s="33">
        <v>45481</v>
      </c>
      <c r="I65">
        <f>Table2[[#This Row],[Sales]]*(1-Table2[[#This Row],[Discount]])</f>
        <v>804.42399999999998</v>
      </c>
    </row>
    <row r="66" spans="1:9" ht="15.75" customHeight="1" x14ac:dyDescent="0.3">
      <c r="A66" t="s">
        <v>43</v>
      </c>
      <c r="B66" t="s">
        <v>63</v>
      </c>
      <c r="C66" t="s">
        <v>22</v>
      </c>
      <c r="D66" t="s">
        <v>23</v>
      </c>
      <c r="E66">
        <v>1100.0999999999999</v>
      </c>
      <c r="F66">
        <v>5</v>
      </c>
      <c r="G66">
        <v>0.05</v>
      </c>
      <c r="H66" s="33">
        <v>45482</v>
      </c>
      <c r="I66">
        <f>Table2[[#This Row],[Sales]]*(1-Table2[[#This Row],[Discount]])</f>
        <v>1045.0949999999998</v>
      </c>
    </row>
    <row r="67" spans="1:9" ht="15.75" customHeight="1" x14ac:dyDescent="0.3">
      <c r="A67" t="s">
        <v>69</v>
      </c>
      <c r="B67" t="s">
        <v>25</v>
      </c>
      <c r="C67" t="s">
        <v>26</v>
      </c>
      <c r="D67" t="s">
        <v>29</v>
      </c>
      <c r="E67">
        <v>1034.7</v>
      </c>
      <c r="F67">
        <v>15</v>
      </c>
      <c r="G67">
        <v>0.15</v>
      </c>
      <c r="H67" s="33">
        <v>45487</v>
      </c>
      <c r="I67">
        <f>Table2[[#This Row],[Sales]]*(1-Table2[[#This Row],[Discount]])</f>
        <v>879.495</v>
      </c>
    </row>
    <row r="68" spans="1:9" ht="15.75" customHeight="1" x14ac:dyDescent="0.3">
      <c r="A68" t="s">
        <v>67</v>
      </c>
      <c r="B68" t="s">
        <v>33</v>
      </c>
      <c r="C68" t="s">
        <v>22</v>
      </c>
      <c r="D68" t="s">
        <v>13</v>
      </c>
      <c r="E68">
        <v>876.44</v>
      </c>
      <c r="F68">
        <v>12</v>
      </c>
      <c r="G68">
        <v>0.05</v>
      </c>
      <c r="H68" s="33">
        <v>45488</v>
      </c>
      <c r="I68">
        <f>Table2[[#This Row],[Sales]]*(1-Table2[[#This Row],[Discount]])</f>
        <v>832.61800000000005</v>
      </c>
    </row>
    <row r="69" spans="1:9" ht="15.75" customHeight="1" x14ac:dyDescent="0.3">
      <c r="A69" t="s">
        <v>70</v>
      </c>
      <c r="B69" t="s">
        <v>57</v>
      </c>
      <c r="C69" t="s">
        <v>12</v>
      </c>
      <c r="D69" t="s">
        <v>29</v>
      </c>
      <c r="E69">
        <v>1371.34</v>
      </c>
      <c r="F69">
        <v>5</v>
      </c>
      <c r="G69">
        <v>0.05</v>
      </c>
      <c r="H69" s="33">
        <v>45488</v>
      </c>
      <c r="I69">
        <f>Table2[[#This Row],[Sales]]*(1-Table2[[#This Row],[Discount]])</f>
        <v>1302.7729999999999</v>
      </c>
    </row>
    <row r="70" spans="1:9" ht="15.75" customHeight="1" x14ac:dyDescent="0.3">
      <c r="A70" t="s">
        <v>59</v>
      </c>
      <c r="B70" t="s">
        <v>49</v>
      </c>
      <c r="C70" t="s">
        <v>26</v>
      </c>
      <c r="D70" t="s">
        <v>23</v>
      </c>
      <c r="E70">
        <v>1020.26</v>
      </c>
      <c r="F70">
        <v>11</v>
      </c>
      <c r="G70">
        <v>0.05</v>
      </c>
      <c r="H70" s="33">
        <v>45494</v>
      </c>
      <c r="I70">
        <f>Table2[[#This Row],[Sales]]*(1-Table2[[#This Row],[Discount]])</f>
        <v>969.24699999999996</v>
      </c>
    </row>
    <row r="71" spans="1:9" ht="15.75" customHeight="1" x14ac:dyDescent="0.3">
      <c r="A71" t="s">
        <v>46</v>
      </c>
      <c r="B71" t="s">
        <v>11</v>
      </c>
      <c r="C71" t="s">
        <v>36</v>
      </c>
      <c r="D71" t="s">
        <v>41</v>
      </c>
      <c r="E71">
        <v>804.81</v>
      </c>
      <c r="F71">
        <v>1</v>
      </c>
      <c r="G71">
        <v>0.05</v>
      </c>
      <c r="H71" s="33">
        <v>45502</v>
      </c>
      <c r="I71">
        <f>Table2[[#This Row],[Sales]]*(1-Table2[[#This Row],[Discount]])</f>
        <v>764.56949999999995</v>
      </c>
    </row>
    <row r="72" spans="1:9" ht="15.75" customHeight="1" x14ac:dyDescent="0.3">
      <c r="A72" t="s">
        <v>24</v>
      </c>
      <c r="B72" t="s">
        <v>57</v>
      </c>
      <c r="C72" t="s">
        <v>36</v>
      </c>
      <c r="D72" t="s">
        <v>23</v>
      </c>
      <c r="E72">
        <v>608.66</v>
      </c>
      <c r="F72">
        <v>1</v>
      </c>
      <c r="G72">
        <v>0.05</v>
      </c>
      <c r="H72" s="33">
        <v>45503</v>
      </c>
      <c r="I72">
        <f>Table2[[#This Row],[Sales]]*(1-Table2[[#This Row],[Discount]])</f>
        <v>578.22699999999998</v>
      </c>
    </row>
    <row r="73" spans="1:9" ht="15.75" customHeight="1" x14ac:dyDescent="0.3">
      <c r="A73" t="s">
        <v>70</v>
      </c>
      <c r="B73" t="s">
        <v>71</v>
      </c>
      <c r="C73" t="s">
        <v>22</v>
      </c>
      <c r="D73" t="s">
        <v>41</v>
      </c>
      <c r="E73">
        <v>981.2</v>
      </c>
      <c r="F73">
        <v>19</v>
      </c>
      <c r="G73">
        <v>0</v>
      </c>
      <c r="H73" s="33">
        <v>45504</v>
      </c>
      <c r="I73">
        <f>Table2[[#This Row],[Sales]]*(1-Table2[[#This Row],[Discount]])</f>
        <v>981.2</v>
      </c>
    </row>
    <row r="74" spans="1:9" ht="15.75" customHeight="1" x14ac:dyDescent="0.3">
      <c r="A74" t="s">
        <v>72</v>
      </c>
      <c r="B74" t="s">
        <v>57</v>
      </c>
      <c r="C74" t="s">
        <v>20</v>
      </c>
      <c r="D74" t="s">
        <v>23</v>
      </c>
      <c r="E74">
        <v>539.77</v>
      </c>
      <c r="F74">
        <v>10</v>
      </c>
      <c r="G74">
        <v>0.15</v>
      </c>
      <c r="H74" s="33">
        <v>45509</v>
      </c>
      <c r="I74">
        <f>Table2[[#This Row],[Sales]]*(1-Table2[[#This Row],[Discount]])</f>
        <v>458.80449999999996</v>
      </c>
    </row>
    <row r="75" spans="1:9" ht="15.75" customHeight="1" x14ac:dyDescent="0.3">
      <c r="A75" t="s">
        <v>15</v>
      </c>
      <c r="B75" t="s">
        <v>73</v>
      </c>
      <c r="C75" t="s">
        <v>22</v>
      </c>
      <c r="D75" t="s">
        <v>13</v>
      </c>
      <c r="E75">
        <v>804.45</v>
      </c>
      <c r="F75">
        <v>5</v>
      </c>
      <c r="G75">
        <v>0.2</v>
      </c>
      <c r="H75" s="33">
        <v>45509</v>
      </c>
      <c r="I75">
        <f>Table2[[#This Row],[Sales]]*(1-Table2[[#This Row],[Discount]])</f>
        <v>643.56000000000006</v>
      </c>
    </row>
    <row r="76" spans="1:9" ht="15.75" customHeight="1" x14ac:dyDescent="0.3">
      <c r="A76" t="s">
        <v>72</v>
      </c>
      <c r="B76" t="s">
        <v>40</v>
      </c>
      <c r="C76" t="s">
        <v>12</v>
      </c>
      <c r="D76" t="s">
        <v>23</v>
      </c>
      <c r="E76">
        <v>1526.6</v>
      </c>
      <c r="F76">
        <v>13</v>
      </c>
      <c r="G76">
        <v>0.2</v>
      </c>
      <c r="H76" s="33">
        <v>45512</v>
      </c>
      <c r="I76">
        <f>Table2[[#This Row],[Sales]]*(1-Table2[[#This Row],[Discount]])</f>
        <v>1221.28</v>
      </c>
    </row>
    <row r="77" spans="1:9" ht="15.75" customHeight="1" x14ac:dyDescent="0.3">
      <c r="A77" t="s">
        <v>15</v>
      </c>
      <c r="B77" t="s">
        <v>31</v>
      </c>
      <c r="C77" t="s">
        <v>12</v>
      </c>
      <c r="D77" t="s">
        <v>23</v>
      </c>
      <c r="E77">
        <v>1215.26</v>
      </c>
      <c r="F77">
        <v>5</v>
      </c>
      <c r="G77">
        <v>0.15</v>
      </c>
      <c r="H77" s="33">
        <v>45513</v>
      </c>
      <c r="I77">
        <f>Table2[[#This Row],[Sales]]*(1-Table2[[#This Row],[Discount]])</f>
        <v>1032.971</v>
      </c>
    </row>
    <row r="78" spans="1:9" ht="15.75" customHeight="1" x14ac:dyDescent="0.3">
      <c r="A78" t="s">
        <v>21</v>
      </c>
      <c r="B78" t="s">
        <v>55</v>
      </c>
      <c r="C78" t="s">
        <v>36</v>
      </c>
      <c r="D78" t="s">
        <v>29</v>
      </c>
      <c r="E78">
        <v>1261.3399999999999</v>
      </c>
      <c r="F78">
        <v>3</v>
      </c>
      <c r="G78">
        <v>0</v>
      </c>
      <c r="H78" s="33">
        <v>45519</v>
      </c>
      <c r="I78">
        <f>Table2[[#This Row],[Sales]]*(1-Table2[[#This Row],[Discount]])</f>
        <v>1261.3399999999999</v>
      </c>
    </row>
    <row r="79" spans="1:9" ht="15.75" customHeight="1" x14ac:dyDescent="0.3">
      <c r="A79" t="s">
        <v>74</v>
      </c>
      <c r="B79" t="s">
        <v>47</v>
      </c>
      <c r="C79" t="s">
        <v>26</v>
      </c>
      <c r="D79" t="s">
        <v>29</v>
      </c>
      <c r="E79">
        <v>518.07000000000005</v>
      </c>
      <c r="F79">
        <v>7</v>
      </c>
      <c r="G79">
        <v>0.05</v>
      </c>
      <c r="H79" s="33">
        <v>45522</v>
      </c>
      <c r="I79">
        <f>Table2[[#This Row],[Sales]]*(1-Table2[[#This Row],[Discount]])</f>
        <v>492.16650000000004</v>
      </c>
    </row>
    <row r="80" spans="1:9" ht="15.75" customHeight="1" x14ac:dyDescent="0.3">
      <c r="A80" t="s">
        <v>32</v>
      </c>
      <c r="B80" t="s">
        <v>31</v>
      </c>
      <c r="C80" t="s">
        <v>12</v>
      </c>
      <c r="D80" t="s">
        <v>41</v>
      </c>
      <c r="E80">
        <v>1111.3399999999999</v>
      </c>
      <c r="F80">
        <v>1</v>
      </c>
      <c r="G80">
        <v>0</v>
      </c>
      <c r="H80" s="33">
        <v>45523</v>
      </c>
      <c r="I80">
        <f>Table2[[#This Row],[Sales]]*(1-Table2[[#This Row],[Discount]])</f>
        <v>1111.3399999999999</v>
      </c>
    </row>
    <row r="81" spans="1:9" ht="15.75" customHeight="1" x14ac:dyDescent="0.3">
      <c r="A81" t="s">
        <v>24</v>
      </c>
      <c r="B81" t="s">
        <v>33</v>
      </c>
      <c r="C81" t="s">
        <v>20</v>
      </c>
      <c r="D81" t="s">
        <v>17</v>
      </c>
      <c r="E81">
        <v>1291.47</v>
      </c>
      <c r="F81">
        <v>18</v>
      </c>
      <c r="G81">
        <v>0.1</v>
      </c>
      <c r="H81" s="33">
        <v>45526</v>
      </c>
      <c r="I81">
        <f>Table2[[#This Row],[Sales]]*(1-Table2[[#This Row],[Discount]])</f>
        <v>1162.3230000000001</v>
      </c>
    </row>
    <row r="82" spans="1:9" ht="15.75" customHeight="1" x14ac:dyDescent="0.3">
      <c r="A82" t="s">
        <v>27</v>
      </c>
      <c r="B82" t="s">
        <v>57</v>
      </c>
      <c r="C82" t="s">
        <v>26</v>
      </c>
      <c r="D82" t="s">
        <v>13</v>
      </c>
      <c r="E82">
        <v>679.71</v>
      </c>
      <c r="F82">
        <v>19</v>
      </c>
      <c r="G82">
        <v>0</v>
      </c>
      <c r="H82" s="33">
        <v>45534</v>
      </c>
      <c r="I82">
        <f>Table2[[#This Row],[Sales]]*(1-Table2[[#This Row],[Discount]])</f>
        <v>679.71</v>
      </c>
    </row>
    <row r="83" spans="1:9" ht="15.75" customHeight="1" x14ac:dyDescent="0.3">
      <c r="A83" t="s">
        <v>70</v>
      </c>
      <c r="B83" t="s">
        <v>35</v>
      </c>
      <c r="C83" t="s">
        <v>20</v>
      </c>
      <c r="D83" t="s">
        <v>29</v>
      </c>
      <c r="E83">
        <v>1143.69</v>
      </c>
      <c r="F83">
        <v>17</v>
      </c>
      <c r="G83">
        <v>0</v>
      </c>
      <c r="H83" s="33">
        <v>45534</v>
      </c>
      <c r="I83">
        <f>Table2[[#This Row],[Sales]]*(1-Table2[[#This Row],[Discount]])</f>
        <v>1143.69</v>
      </c>
    </row>
    <row r="84" spans="1:9" ht="15.75" customHeight="1" x14ac:dyDescent="0.3">
      <c r="A84" t="s">
        <v>54</v>
      </c>
      <c r="B84" t="s">
        <v>52</v>
      </c>
      <c r="C84" t="s">
        <v>36</v>
      </c>
      <c r="D84" t="s">
        <v>23</v>
      </c>
      <c r="E84">
        <v>790.08</v>
      </c>
      <c r="F84">
        <v>7</v>
      </c>
      <c r="G84">
        <v>0.1</v>
      </c>
      <c r="H84" s="33">
        <v>45536</v>
      </c>
      <c r="I84">
        <f>Table2[[#This Row],[Sales]]*(1-Table2[[#This Row],[Discount]])</f>
        <v>711.072</v>
      </c>
    </row>
    <row r="85" spans="1:9" ht="15.75" customHeight="1" x14ac:dyDescent="0.3">
      <c r="A85" t="s">
        <v>21</v>
      </c>
      <c r="B85" t="s">
        <v>50</v>
      </c>
      <c r="C85" t="s">
        <v>36</v>
      </c>
      <c r="D85" t="s">
        <v>13</v>
      </c>
      <c r="E85">
        <v>1070.68</v>
      </c>
      <c r="F85">
        <v>7</v>
      </c>
      <c r="G85">
        <v>0.05</v>
      </c>
      <c r="H85" s="33">
        <v>45536</v>
      </c>
      <c r="I85">
        <f>Table2[[#This Row],[Sales]]*(1-Table2[[#This Row],[Discount]])</f>
        <v>1017.146</v>
      </c>
    </row>
    <row r="86" spans="1:9" ht="15.75" customHeight="1" x14ac:dyDescent="0.3">
      <c r="A86" t="s">
        <v>60</v>
      </c>
      <c r="B86" t="s">
        <v>38</v>
      </c>
      <c r="C86" t="s">
        <v>12</v>
      </c>
      <c r="D86" t="s">
        <v>17</v>
      </c>
      <c r="E86">
        <v>1168.8900000000001</v>
      </c>
      <c r="F86">
        <v>4</v>
      </c>
      <c r="G86">
        <v>0.1</v>
      </c>
      <c r="H86" s="33">
        <v>45544</v>
      </c>
      <c r="I86">
        <f>Table2[[#This Row],[Sales]]*(1-Table2[[#This Row],[Discount]])</f>
        <v>1052.0010000000002</v>
      </c>
    </row>
    <row r="87" spans="1:9" ht="15.75" customHeight="1" x14ac:dyDescent="0.3">
      <c r="A87" t="s">
        <v>69</v>
      </c>
      <c r="B87" t="s">
        <v>11</v>
      </c>
      <c r="C87" t="s">
        <v>22</v>
      </c>
      <c r="D87" t="s">
        <v>23</v>
      </c>
      <c r="E87">
        <v>1335.87</v>
      </c>
      <c r="F87">
        <v>17</v>
      </c>
      <c r="G87">
        <v>0</v>
      </c>
      <c r="H87" s="33">
        <v>45544</v>
      </c>
      <c r="I87">
        <f>Table2[[#This Row],[Sales]]*(1-Table2[[#This Row],[Discount]])</f>
        <v>1335.87</v>
      </c>
    </row>
    <row r="88" spans="1:9" ht="15.75" customHeight="1" x14ac:dyDescent="0.3">
      <c r="A88" t="s">
        <v>42</v>
      </c>
      <c r="B88" t="s">
        <v>57</v>
      </c>
      <c r="C88" t="s">
        <v>20</v>
      </c>
      <c r="D88" t="s">
        <v>29</v>
      </c>
      <c r="E88">
        <v>873.7</v>
      </c>
      <c r="F88">
        <v>9</v>
      </c>
      <c r="G88">
        <v>0</v>
      </c>
      <c r="H88" s="33">
        <v>45546</v>
      </c>
      <c r="I88">
        <f>Table2[[#This Row],[Sales]]*(1-Table2[[#This Row],[Discount]])</f>
        <v>873.7</v>
      </c>
    </row>
    <row r="89" spans="1:9" ht="15.75" customHeight="1" x14ac:dyDescent="0.3">
      <c r="A89" t="s">
        <v>74</v>
      </c>
      <c r="B89" t="s">
        <v>66</v>
      </c>
      <c r="C89" t="s">
        <v>12</v>
      </c>
      <c r="D89" t="s">
        <v>41</v>
      </c>
      <c r="E89">
        <v>1443.98</v>
      </c>
      <c r="F89">
        <v>19</v>
      </c>
      <c r="G89">
        <v>0</v>
      </c>
      <c r="H89" s="33">
        <v>45547</v>
      </c>
      <c r="I89">
        <f>Table2[[#This Row],[Sales]]*(1-Table2[[#This Row],[Discount]])</f>
        <v>1443.98</v>
      </c>
    </row>
    <row r="90" spans="1:9" ht="15.75" customHeight="1" x14ac:dyDescent="0.3">
      <c r="A90" t="s">
        <v>42</v>
      </c>
      <c r="B90" t="s">
        <v>25</v>
      </c>
      <c r="C90" t="s">
        <v>20</v>
      </c>
      <c r="D90" t="s">
        <v>41</v>
      </c>
      <c r="E90">
        <v>1154.33</v>
      </c>
      <c r="F90">
        <v>11</v>
      </c>
      <c r="G90">
        <v>0.15</v>
      </c>
      <c r="H90" s="33">
        <v>45549</v>
      </c>
      <c r="I90">
        <f>Table2[[#This Row],[Sales]]*(1-Table2[[#This Row],[Discount]])</f>
        <v>981.18049999999994</v>
      </c>
    </row>
    <row r="91" spans="1:9" ht="15.75" customHeight="1" x14ac:dyDescent="0.3">
      <c r="A91" t="s">
        <v>51</v>
      </c>
      <c r="B91" t="s">
        <v>52</v>
      </c>
      <c r="C91" t="s">
        <v>22</v>
      </c>
      <c r="D91" t="s">
        <v>13</v>
      </c>
      <c r="E91">
        <v>1264.49</v>
      </c>
      <c r="F91">
        <v>16</v>
      </c>
      <c r="G91">
        <v>0.05</v>
      </c>
      <c r="H91" s="33">
        <v>45549</v>
      </c>
      <c r="I91">
        <f>Table2[[#This Row],[Sales]]*(1-Table2[[#This Row],[Discount]])</f>
        <v>1201.2655</v>
      </c>
    </row>
    <row r="92" spans="1:9" ht="15.75" customHeight="1" x14ac:dyDescent="0.3">
      <c r="A92" t="s">
        <v>27</v>
      </c>
      <c r="B92" t="s">
        <v>68</v>
      </c>
      <c r="C92" t="s">
        <v>12</v>
      </c>
      <c r="D92" t="s">
        <v>29</v>
      </c>
      <c r="E92">
        <v>1101.55</v>
      </c>
      <c r="F92">
        <v>4</v>
      </c>
      <c r="G92">
        <v>0.1</v>
      </c>
      <c r="H92" s="33">
        <v>45551</v>
      </c>
      <c r="I92">
        <f>Table2[[#This Row],[Sales]]*(1-Table2[[#This Row],[Discount]])</f>
        <v>991.39499999999998</v>
      </c>
    </row>
    <row r="93" spans="1:9" ht="15.75" customHeight="1" x14ac:dyDescent="0.3">
      <c r="A93" t="s">
        <v>75</v>
      </c>
      <c r="B93" t="s">
        <v>16</v>
      </c>
      <c r="C93" t="s">
        <v>22</v>
      </c>
      <c r="D93" t="s">
        <v>29</v>
      </c>
      <c r="E93">
        <v>727.73</v>
      </c>
      <c r="F93">
        <v>1</v>
      </c>
      <c r="G93">
        <v>0.1</v>
      </c>
      <c r="H93" s="33">
        <v>45552</v>
      </c>
      <c r="I93">
        <f>Table2[[#This Row],[Sales]]*(1-Table2[[#This Row],[Discount]])</f>
        <v>654.95699999999999</v>
      </c>
    </row>
    <row r="94" spans="1:9" ht="15.75" customHeight="1" x14ac:dyDescent="0.3">
      <c r="A94" t="s">
        <v>76</v>
      </c>
      <c r="B94" t="s">
        <v>40</v>
      </c>
      <c r="C94" t="s">
        <v>20</v>
      </c>
      <c r="D94" t="s">
        <v>41</v>
      </c>
      <c r="E94">
        <v>875.41</v>
      </c>
      <c r="F94">
        <v>13</v>
      </c>
      <c r="G94">
        <v>0.15</v>
      </c>
      <c r="H94" s="33">
        <v>45552</v>
      </c>
      <c r="I94">
        <f>Table2[[#This Row],[Sales]]*(1-Table2[[#This Row],[Discount]])</f>
        <v>744.09849999999994</v>
      </c>
    </row>
    <row r="95" spans="1:9" ht="15.75" customHeight="1" x14ac:dyDescent="0.3">
      <c r="A95" t="s">
        <v>69</v>
      </c>
      <c r="B95" t="s">
        <v>25</v>
      </c>
      <c r="C95" t="s">
        <v>12</v>
      </c>
      <c r="D95" t="s">
        <v>23</v>
      </c>
      <c r="E95">
        <v>1158.94</v>
      </c>
      <c r="F95">
        <v>19</v>
      </c>
      <c r="G95">
        <v>0.2</v>
      </c>
      <c r="H95" s="33">
        <v>45553</v>
      </c>
      <c r="I95">
        <f>Table2[[#This Row],[Sales]]*(1-Table2[[#This Row],[Discount]])</f>
        <v>927.15200000000004</v>
      </c>
    </row>
    <row r="96" spans="1:9" ht="15.75" customHeight="1" x14ac:dyDescent="0.3">
      <c r="A96" t="s">
        <v>77</v>
      </c>
      <c r="B96" t="s">
        <v>49</v>
      </c>
      <c r="C96" t="s">
        <v>22</v>
      </c>
      <c r="D96" t="s">
        <v>13</v>
      </c>
      <c r="E96">
        <v>966.3</v>
      </c>
      <c r="F96">
        <v>2</v>
      </c>
      <c r="G96">
        <v>0.15</v>
      </c>
      <c r="H96" s="33">
        <v>45557</v>
      </c>
      <c r="I96">
        <f>Table2[[#This Row],[Sales]]*(1-Table2[[#This Row],[Discount]])</f>
        <v>821.3549999999999</v>
      </c>
    </row>
    <row r="97" spans="1:9" ht="15.75" customHeight="1" x14ac:dyDescent="0.3">
      <c r="A97" t="s">
        <v>70</v>
      </c>
      <c r="B97" t="s">
        <v>19</v>
      </c>
      <c r="C97" t="s">
        <v>22</v>
      </c>
      <c r="D97" t="s">
        <v>13</v>
      </c>
      <c r="E97">
        <v>917.48</v>
      </c>
      <c r="F97">
        <v>6</v>
      </c>
      <c r="G97">
        <v>0</v>
      </c>
      <c r="H97" s="33">
        <v>45558</v>
      </c>
      <c r="I97">
        <f>Table2[[#This Row],[Sales]]*(1-Table2[[#This Row],[Discount]])</f>
        <v>917.48</v>
      </c>
    </row>
    <row r="98" spans="1:9" ht="15.75" customHeight="1" x14ac:dyDescent="0.3">
      <c r="A98" t="s">
        <v>43</v>
      </c>
      <c r="B98" t="s">
        <v>63</v>
      </c>
      <c r="C98" t="s">
        <v>12</v>
      </c>
      <c r="D98" t="s">
        <v>29</v>
      </c>
      <c r="E98">
        <v>1172.97</v>
      </c>
      <c r="F98">
        <v>7</v>
      </c>
      <c r="G98">
        <v>0.15</v>
      </c>
      <c r="H98" s="33">
        <v>45559</v>
      </c>
      <c r="I98">
        <f>Table2[[#This Row],[Sales]]*(1-Table2[[#This Row],[Discount]])</f>
        <v>997.02449999999999</v>
      </c>
    </row>
    <row r="99" spans="1:9" ht="15.75" customHeight="1" x14ac:dyDescent="0.3">
      <c r="A99" t="s">
        <v>59</v>
      </c>
      <c r="B99" t="s">
        <v>25</v>
      </c>
      <c r="C99" t="s">
        <v>26</v>
      </c>
      <c r="D99" t="s">
        <v>17</v>
      </c>
      <c r="E99">
        <v>1205.82</v>
      </c>
      <c r="F99">
        <v>11</v>
      </c>
      <c r="G99">
        <v>0.1</v>
      </c>
      <c r="H99" s="33">
        <v>45559</v>
      </c>
      <c r="I99">
        <f>Table2[[#This Row],[Sales]]*(1-Table2[[#This Row],[Discount]])</f>
        <v>1085.2380000000001</v>
      </c>
    </row>
    <row r="100" spans="1:9" ht="15.75" customHeight="1" x14ac:dyDescent="0.3">
      <c r="A100" t="s">
        <v>18</v>
      </c>
      <c r="B100" t="s">
        <v>66</v>
      </c>
      <c r="C100" t="s">
        <v>12</v>
      </c>
      <c r="D100" t="s">
        <v>41</v>
      </c>
      <c r="E100">
        <v>826.93</v>
      </c>
      <c r="F100">
        <v>10</v>
      </c>
      <c r="G100">
        <v>0.2</v>
      </c>
      <c r="H100" s="33">
        <v>45564</v>
      </c>
      <c r="I100">
        <f>Table2[[#This Row],[Sales]]*(1-Table2[[#This Row],[Discount]])</f>
        <v>661.54399999999998</v>
      </c>
    </row>
    <row r="101" spans="1:9" ht="15.75" customHeight="1" x14ac:dyDescent="0.3">
      <c r="A101" t="s">
        <v>69</v>
      </c>
      <c r="B101" t="s">
        <v>25</v>
      </c>
      <c r="C101" t="s">
        <v>36</v>
      </c>
      <c r="D101" t="s">
        <v>17</v>
      </c>
      <c r="E101">
        <v>902.19</v>
      </c>
      <c r="F101">
        <v>12</v>
      </c>
      <c r="G101">
        <v>0</v>
      </c>
      <c r="H101" s="33">
        <v>45564</v>
      </c>
      <c r="I101">
        <f>Table2[[#This Row],[Sales]]*(1-Table2[[#This Row],[Discount]])</f>
        <v>902.19</v>
      </c>
    </row>
    <row r="102" spans="1:9" ht="15.75" customHeight="1" x14ac:dyDescent="0.3">
      <c r="A102" t="s">
        <v>76</v>
      </c>
      <c r="B102" t="s">
        <v>40</v>
      </c>
      <c r="C102" t="s">
        <v>26</v>
      </c>
      <c r="D102" t="s">
        <v>13</v>
      </c>
      <c r="E102">
        <v>585.97</v>
      </c>
      <c r="F102">
        <v>17</v>
      </c>
      <c r="G102">
        <v>0.1</v>
      </c>
      <c r="H102" s="33">
        <v>45565</v>
      </c>
      <c r="I102">
        <f>Table2[[#This Row],[Sales]]*(1-Table2[[#This Row],[Discount]])</f>
        <v>527.37300000000005</v>
      </c>
    </row>
    <row r="103" spans="1:9" ht="15.75" customHeight="1" x14ac:dyDescent="0.3">
      <c r="A103" t="s">
        <v>62</v>
      </c>
      <c r="B103" t="s">
        <v>28</v>
      </c>
      <c r="C103" t="s">
        <v>26</v>
      </c>
      <c r="D103" t="s">
        <v>17</v>
      </c>
      <c r="E103">
        <v>990.19</v>
      </c>
      <c r="F103">
        <v>8</v>
      </c>
      <c r="G103">
        <v>0.1</v>
      </c>
      <c r="H103" s="33">
        <v>45565</v>
      </c>
      <c r="I103">
        <f>Table2[[#This Row],[Sales]]*(1-Table2[[#This Row],[Discount]])</f>
        <v>891.17100000000005</v>
      </c>
    </row>
    <row r="104" spans="1:9" ht="15.75" customHeight="1" x14ac:dyDescent="0.3">
      <c r="A104" t="s">
        <v>46</v>
      </c>
      <c r="B104" t="s">
        <v>58</v>
      </c>
      <c r="C104" t="s">
        <v>36</v>
      </c>
      <c r="D104" t="s">
        <v>23</v>
      </c>
      <c r="E104">
        <v>1014.09</v>
      </c>
      <c r="F104">
        <v>13</v>
      </c>
      <c r="G104">
        <v>0.2</v>
      </c>
      <c r="H104" s="33">
        <v>45567</v>
      </c>
      <c r="I104">
        <f>Table2[[#This Row],[Sales]]*(1-Table2[[#This Row],[Discount]])</f>
        <v>811.27200000000005</v>
      </c>
    </row>
    <row r="105" spans="1:9" ht="15.75" customHeight="1" x14ac:dyDescent="0.3">
      <c r="A105" t="s">
        <v>15</v>
      </c>
      <c r="B105" t="s">
        <v>50</v>
      </c>
      <c r="C105" t="s">
        <v>26</v>
      </c>
      <c r="D105" t="s">
        <v>23</v>
      </c>
      <c r="E105">
        <v>925.29</v>
      </c>
      <c r="F105">
        <v>17</v>
      </c>
      <c r="G105">
        <v>0</v>
      </c>
      <c r="H105" s="33">
        <v>45570</v>
      </c>
      <c r="I105">
        <f>Table2[[#This Row],[Sales]]*(1-Table2[[#This Row],[Discount]])</f>
        <v>925.29</v>
      </c>
    </row>
    <row r="106" spans="1:9" ht="15.75" customHeight="1" x14ac:dyDescent="0.3">
      <c r="A106" t="s">
        <v>56</v>
      </c>
      <c r="B106" t="s">
        <v>49</v>
      </c>
      <c r="C106" t="s">
        <v>20</v>
      </c>
      <c r="D106" t="s">
        <v>29</v>
      </c>
      <c r="E106">
        <v>1286.54</v>
      </c>
      <c r="F106">
        <v>8</v>
      </c>
      <c r="G106">
        <v>0</v>
      </c>
      <c r="H106" s="33">
        <v>45575</v>
      </c>
      <c r="I106">
        <f>Table2[[#This Row],[Sales]]*(1-Table2[[#This Row],[Discount]])</f>
        <v>1286.54</v>
      </c>
    </row>
    <row r="107" spans="1:9" ht="15.75" customHeight="1" x14ac:dyDescent="0.3">
      <c r="A107" t="s">
        <v>39</v>
      </c>
      <c r="B107" t="s">
        <v>66</v>
      </c>
      <c r="C107" t="s">
        <v>22</v>
      </c>
      <c r="D107" t="s">
        <v>13</v>
      </c>
      <c r="E107">
        <v>961.62</v>
      </c>
      <c r="F107">
        <v>8</v>
      </c>
      <c r="G107">
        <v>0.2</v>
      </c>
      <c r="H107" s="33">
        <v>45577</v>
      </c>
      <c r="I107">
        <f>Table2[[#This Row],[Sales]]*(1-Table2[[#This Row],[Discount]])</f>
        <v>769.29600000000005</v>
      </c>
    </row>
    <row r="108" spans="1:9" ht="15.75" customHeight="1" x14ac:dyDescent="0.3">
      <c r="A108" t="s">
        <v>46</v>
      </c>
      <c r="B108" t="s">
        <v>25</v>
      </c>
      <c r="C108" t="s">
        <v>20</v>
      </c>
      <c r="D108" t="s">
        <v>13</v>
      </c>
      <c r="E108">
        <v>1081.1400000000001</v>
      </c>
      <c r="F108">
        <v>19</v>
      </c>
      <c r="G108">
        <v>0.15</v>
      </c>
      <c r="H108" s="33">
        <v>45577</v>
      </c>
      <c r="I108">
        <f>Table2[[#This Row],[Sales]]*(1-Table2[[#This Row],[Discount]])</f>
        <v>918.96900000000005</v>
      </c>
    </row>
    <row r="109" spans="1:9" ht="15.75" customHeight="1" x14ac:dyDescent="0.3">
      <c r="A109" t="s">
        <v>60</v>
      </c>
      <c r="B109" t="s">
        <v>25</v>
      </c>
      <c r="C109" t="s">
        <v>12</v>
      </c>
      <c r="D109" t="s">
        <v>17</v>
      </c>
      <c r="E109">
        <v>1923.66</v>
      </c>
      <c r="F109">
        <v>9</v>
      </c>
      <c r="G109">
        <v>0.2</v>
      </c>
      <c r="H109" s="33">
        <v>45580</v>
      </c>
      <c r="I109">
        <f>Table2[[#This Row],[Sales]]*(1-Table2[[#This Row],[Discount]])</f>
        <v>1538.9280000000001</v>
      </c>
    </row>
    <row r="110" spans="1:9" ht="15.75" customHeight="1" x14ac:dyDescent="0.3">
      <c r="A110" t="s">
        <v>56</v>
      </c>
      <c r="B110" t="s">
        <v>68</v>
      </c>
      <c r="C110" t="s">
        <v>36</v>
      </c>
      <c r="D110" t="s">
        <v>17</v>
      </c>
      <c r="E110">
        <v>728.71</v>
      </c>
      <c r="F110">
        <v>14</v>
      </c>
      <c r="G110">
        <v>0.1</v>
      </c>
      <c r="H110" s="33">
        <v>45581</v>
      </c>
      <c r="I110">
        <f>Table2[[#This Row],[Sales]]*(1-Table2[[#This Row],[Discount]])</f>
        <v>655.83900000000006</v>
      </c>
    </row>
    <row r="111" spans="1:9" ht="15.75" customHeight="1" x14ac:dyDescent="0.3">
      <c r="A111" t="s">
        <v>10</v>
      </c>
      <c r="B111" t="s">
        <v>35</v>
      </c>
      <c r="C111" t="s">
        <v>36</v>
      </c>
      <c r="D111" t="s">
        <v>17</v>
      </c>
      <c r="E111">
        <v>1301.8900000000001</v>
      </c>
      <c r="F111">
        <v>7</v>
      </c>
      <c r="G111">
        <v>0.15</v>
      </c>
      <c r="H111" s="33">
        <v>45581</v>
      </c>
      <c r="I111">
        <f>Table2[[#This Row],[Sales]]*(1-Table2[[#This Row],[Discount]])</f>
        <v>1106.6065000000001</v>
      </c>
    </row>
    <row r="112" spans="1:9" ht="15.75" customHeight="1" x14ac:dyDescent="0.3">
      <c r="A112" t="s">
        <v>72</v>
      </c>
      <c r="B112" t="s">
        <v>68</v>
      </c>
      <c r="C112" t="s">
        <v>20</v>
      </c>
      <c r="D112" t="s">
        <v>13</v>
      </c>
      <c r="E112">
        <v>980.18</v>
      </c>
      <c r="F112">
        <v>16</v>
      </c>
      <c r="G112">
        <v>0.1</v>
      </c>
      <c r="H112" s="33">
        <v>45582</v>
      </c>
      <c r="I112">
        <f>Table2[[#This Row],[Sales]]*(1-Table2[[#This Row],[Discount]])</f>
        <v>882.16199999999992</v>
      </c>
    </row>
    <row r="113" spans="1:9" ht="15.75" customHeight="1" x14ac:dyDescent="0.3">
      <c r="A113" t="s">
        <v>76</v>
      </c>
      <c r="B113" t="s">
        <v>25</v>
      </c>
      <c r="C113" t="s">
        <v>12</v>
      </c>
      <c r="D113" t="s">
        <v>17</v>
      </c>
      <c r="E113">
        <v>697.57</v>
      </c>
      <c r="F113">
        <v>17</v>
      </c>
      <c r="G113">
        <v>0.1</v>
      </c>
      <c r="H113" s="33">
        <v>45584</v>
      </c>
      <c r="I113">
        <f>Table2[[#This Row],[Sales]]*(1-Table2[[#This Row],[Discount]])</f>
        <v>627.8130000000001</v>
      </c>
    </row>
    <row r="114" spans="1:9" ht="15.75" customHeight="1" x14ac:dyDescent="0.3">
      <c r="A114" t="s">
        <v>48</v>
      </c>
      <c r="B114" t="s">
        <v>73</v>
      </c>
      <c r="C114" t="s">
        <v>12</v>
      </c>
      <c r="D114" t="s">
        <v>29</v>
      </c>
      <c r="E114">
        <v>1193.6099999999999</v>
      </c>
      <c r="F114">
        <v>1</v>
      </c>
      <c r="G114">
        <v>0.15</v>
      </c>
      <c r="H114" s="33">
        <v>45584</v>
      </c>
      <c r="I114">
        <f>Table2[[#This Row],[Sales]]*(1-Table2[[#This Row],[Discount]])</f>
        <v>1014.5684999999999</v>
      </c>
    </row>
    <row r="115" spans="1:9" ht="15.75" customHeight="1" x14ac:dyDescent="0.3">
      <c r="A115" t="s">
        <v>34</v>
      </c>
      <c r="B115" t="s">
        <v>40</v>
      </c>
      <c r="C115" t="s">
        <v>22</v>
      </c>
      <c r="D115" t="s">
        <v>23</v>
      </c>
      <c r="E115">
        <v>771.02</v>
      </c>
      <c r="F115">
        <v>1</v>
      </c>
      <c r="G115">
        <v>0</v>
      </c>
      <c r="H115" s="33">
        <v>45585</v>
      </c>
      <c r="I115">
        <f>Table2[[#This Row],[Sales]]*(1-Table2[[#This Row],[Discount]])</f>
        <v>771.02</v>
      </c>
    </row>
    <row r="116" spans="1:9" ht="15.75" customHeight="1" x14ac:dyDescent="0.3">
      <c r="A116" t="s">
        <v>69</v>
      </c>
      <c r="B116" t="s">
        <v>71</v>
      </c>
      <c r="C116" t="s">
        <v>26</v>
      </c>
      <c r="D116" t="s">
        <v>17</v>
      </c>
      <c r="E116">
        <v>661.09</v>
      </c>
      <c r="F116">
        <v>1</v>
      </c>
      <c r="G116">
        <v>0.2</v>
      </c>
      <c r="H116" s="33">
        <v>45593</v>
      </c>
      <c r="I116">
        <f>Table2[[#This Row],[Sales]]*(1-Table2[[#This Row],[Discount]])</f>
        <v>528.87200000000007</v>
      </c>
    </row>
    <row r="117" spans="1:9" ht="15.75" customHeight="1" x14ac:dyDescent="0.3">
      <c r="A117" t="s">
        <v>15</v>
      </c>
      <c r="B117" t="s">
        <v>57</v>
      </c>
      <c r="C117" t="s">
        <v>12</v>
      </c>
      <c r="D117" t="s">
        <v>23</v>
      </c>
      <c r="E117">
        <v>688.83</v>
      </c>
      <c r="F117">
        <v>15</v>
      </c>
      <c r="G117">
        <v>0</v>
      </c>
      <c r="H117" s="33">
        <v>45595</v>
      </c>
      <c r="I117">
        <f>Table2[[#This Row],[Sales]]*(1-Table2[[#This Row],[Discount]])</f>
        <v>688.83</v>
      </c>
    </row>
    <row r="118" spans="1:9" ht="15.75" customHeight="1" x14ac:dyDescent="0.3">
      <c r="A118" t="s">
        <v>75</v>
      </c>
      <c r="B118" t="s">
        <v>31</v>
      </c>
      <c r="C118" t="s">
        <v>36</v>
      </c>
      <c r="D118" t="s">
        <v>13</v>
      </c>
      <c r="E118">
        <v>1249.0999999999999</v>
      </c>
      <c r="F118">
        <v>4</v>
      </c>
      <c r="G118">
        <v>0.05</v>
      </c>
      <c r="H118" s="33">
        <v>45597</v>
      </c>
      <c r="I118">
        <f>Table2[[#This Row],[Sales]]*(1-Table2[[#This Row],[Discount]])</f>
        <v>1186.6449999999998</v>
      </c>
    </row>
    <row r="119" spans="1:9" ht="15.75" customHeight="1" x14ac:dyDescent="0.3">
      <c r="A119" t="s">
        <v>46</v>
      </c>
      <c r="B119" t="s">
        <v>25</v>
      </c>
      <c r="C119" t="s">
        <v>20</v>
      </c>
      <c r="D119" t="s">
        <v>41</v>
      </c>
      <c r="E119">
        <v>1014.22</v>
      </c>
      <c r="F119">
        <v>14</v>
      </c>
      <c r="G119">
        <v>0.05</v>
      </c>
      <c r="H119" s="33">
        <v>45599</v>
      </c>
      <c r="I119">
        <f>Table2[[#This Row],[Sales]]*(1-Table2[[#This Row],[Discount]])</f>
        <v>963.50900000000001</v>
      </c>
    </row>
    <row r="120" spans="1:9" ht="15.75" customHeight="1" x14ac:dyDescent="0.3">
      <c r="A120" t="s">
        <v>56</v>
      </c>
      <c r="B120" t="s">
        <v>50</v>
      </c>
      <c r="C120" t="s">
        <v>20</v>
      </c>
      <c r="D120" t="s">
        <v>13</v>
      </c>
      <c r="E120">
        <v>1010.58</v>
      </c>
      <c r="F120">
        <v>2</v>
      </c>
      <c r="G120">
        <v>0.15</v>
      </c>
      <c r="H120" s="33">
        <v>45605</v>
      </c>
      <c r="I120">
        <f>Table2[[#This Row],[Sales]]*(1-Table2[[#This Row],[Discount]])</f>
        <v>858.99300000000005</v>
      </c>
    </row>
    <row r="121" spans="1:9" ht="15.75" customHeight="1" x14ac:dyDescent="0.3">
      <c r="A121" t="s">
        <v>32</v>
      </c>
      <c r="B121" t="s">
        <v>61</v>
      </c>
      <c r="C121" t="s">
        <v>26</v>
      </c>
      <c r="D121" t="s">
        <v>29</v>
      </c>
      <c r="E121">
        <v>957.29</v>
      </c>
      <c r="F121">
        <v>4</v>
      </c>
      <c r="G121">
        <v>0.05</v>
      </c>
      <c r="H121" s="33">
        <v>45605</v>
      </c>
      <c r="I121">
        <f>Table2[[#This Row],[Sales]]*(1-Table2[[#This Row],[Discount]])</f>
        <v>909.42549999999994</v>
      </c>
    </row>
    <row r="122" spans="1:9" ht="15.75" customHeight="1" x14ac:dyDescent="0.3">
      <c r="A122" t="s">
        <v>30</v>
      </c>
      <c r="B122" t="s">
        <v>47</v>
      </c>
      <c r="C122" t="s">
        <v>26</v>
      </c>
      <c r="D122" t="s">
        <v>29</v>
      </c>
      <c r="E122">
        <v>1077.92</v>
      </c>
      <c r="F122">
        <v>3</v>
      </c>
      <c r="G122">
        <v>0.05</v>
      </c>
      <c r="H122" s="33">
        <v>45608</v>
      </c>
      <c r="I122">
        <f>Table2[[#This Row],[Sales]]*(1-Table2[[#This Row],[Discount]])</f>
        <v>1024.0240000000001</v>
      </c>
    </row>
    <row r="123" spans="1:9" ht="15.75" customHeight="1" x14ac:dyDescent="0.3">
      <c r="A123" t="s">
        <v>54</v>
      </c>
      <c r="B123" t="s">
        <v>52</v>
      </c>
      <c r="C123" t="s">
        <v>22</v>
      </c>
      <c r="D123" t="s">
        <v>17</v>
      </c>
      <c r="E123">
        <v>1163.01</v>
      </c>
      <c r="F123">
        <v>5</v>
      </c>
      <c r="G123">
        <v>0</v>
      </c>
      <c r="H123" s="33">
        <v>45611</v>
      </c>
      <c r="I123">
        <f>Table2[[#This Row],[Sales]]*(1-Table2[[#This Row],[Discount]])</f>
        <v>1163.01</v>
      </c>
    </row>
    <row r="124" spans="1:9" ht="15.75" customHeight="1" x14ac:dyDescent="0.3">
      <c r="A124" t="s">
        <v>56</v>
      </c>
      <c r="B124" t="s">
        <v>47</v>
      </c>
      <c r="C124" t="s">
        <v>20</v>
      </c>
      <c r="D124" t="s">
        <v>41</v>
      </c>
      <c r="E124">
        <v>1014.56</v>
      </c>
      <c r="F124">
        <v>10</v>
      </c>
      <c r="G124">
        <v>0.1</v>
      </c>
      <c r="H124" s="33">
        <v>45612</v>
      </c>
      <c r="I124">
        <f>Table2[[#This Row],[Sales]]*(1-Table2[[#This Row],[Discount]])</f>
        <v>913.10399999999993</v>
      </c>
    </row>
    <row r="125" spans="1:9" ht="15.75" customHeight="1" x14ac:dyDescent="0.3">
      <c r="A125" t="s">
        <v>10</v>
      </c>
      <c r="B125" t="s">
        <v>19</v>
      </c>
      <c r="C125" t="s">
        <v>22</v>
      </c>
      <c r="D125" t="s">
        <v>23</v>
      </c>
      <c r="E125">
        <v>718.04</v>
      </c>
      <c r="F125">
        <v>14</v>
      </c>
      <c r="G125">
        <v>0</v>
      </c>
      <c r="H125" s="33">
        <v>45613</v>
      </c>
      <c r="I125">
        <f>Table2[[#This Row],[Sales]]*(1-Table2[[#This Row],[Discount]])</f>
        <v>718.04</v>
      </c>
    </row>
    <row r="126" spans="1:9" ht="15.75" customHeight="1" x14ac:dyDescent="0.3">
      <c r="A126" t="s">
        <v>74</v>
      </c>
      <c r="B126" t="s">
        <v>19</v>
      </c>
      <c r="C126" t="s">
        <v>36</v>
      </c>
      <c r="D126" t="s">
        <v>17</v>
      </c>
      <c r="E126">
        <v>1277.8499999999999</v>
      </c>
      <c r="F126">
        <v>18</v>
      </c>
      <c r="G126">
        <v>0.2</v>
      </c>
      <c r="H126" s="33">
        <v>45613</v>
      </c>
      <c r="I126">
        <f>Table2[[#This Row],[Sales]]*(1-Table2[[#This Row],[Discount]])</f>
        <v>1022.28</v>
      </c>
    </row>
    <row r="127" spans="1:9" ht="15.75" customHeight="1" x14ac:dyDescent="0.3">
      <c r="A127" t="s">
        <v>72</v>
      </c>
      <c r="B127" t="s">
        <v>25</v>
      </c>
      <c r="C127" t="s">
        <v>26</v>
      </c>
      <c r="D127" t="s">
        <v>23</v>
      </c>
      <c r="E127">
        <v>706.73</v>
      </c>
      <c r="F127">
        <v>1</v>
      </c>
      <c r="G127">
        <v>0.15</v>
      </c>
      <c r="H127" s="33">
        <v>45613</v>
      </c>
      <c r="I127">
        <f>Table2[[#This Row],[Sales]]*(1-Table2[[#This Row],[Discount]])</f>
        <v>600.72050000000002</v>
      </c>
    </row>
    <row r="128" spans="1:9" ht="15.75" customHeight="1" x14ac:dyDescent="0.3">
      <c r="A128" t="s">
        <v>67</v>
      </c>
      <c r="B128" t="s">
        <v>52</v>
      </c>
      <c r="C128" t="s">
        <v>20</v>
      </c>
      <c r="D128" t="s">
        <v>23</v>
      </c>
      <c r="E128">
        <v>1410.59</v>
      </c>
      <c r="F128">
        <v>15</v>
      </c>
      <c r="G128">
        <v>0</v>
      </c>
      <c r="H128" s="33">
        <v>45615</v>
      </c>
      <c r="I128">
        <f>Table2[[#This Row],[Sales]]*(1-Table2[[#This Row],[Discount]])</f>
        <v>1410.59</v>
      </c>
    </row>
    <row r="129" spans="1:9" ht="15.75" customHeight="1" x14ac:dyDescent="0.3">
      <c r="A129" t="s">
        <v>34</v>
      </c>
      <c r="B129" t="s">
        <v>63</v>
      </c>
      <c r="C129" t="s">
        <v>22</v>
      </c>
      <c r="D129" t="s">
        <v>29</v>
      </c>
      <c r="E129">
        <v>1350.33</v>
      </c>
      <c r="F129">
        <v>10</v>
      </c>
      <c r="G129">
        <v>0</v>
      </c>
      <c r="H129" s="33">
        <v>45615</v>
      </c>
      <c r="I129">
        <f>Table2[[#This Row],[Sales]]*(1-Table2[[#This Row],[Discount]])</f>
        <v>1350.33</v>
      </c>
    </row>
    <row r="130" spans="1:9" ht="15.75" customHeight="1" x14ac:dyDescent="0.3">
      <c r="A130" t="s">
        <v>43</v>
      </c>
      <c r="B130" t="s">
        <v>47</v>
      </c>
      <c r="C130" t="s">
        <v>20</v>
      </c>
      <c r="D130" t="s">
        <v>23</v>
      </c>
      <c r="E130">
        <v>919.18</v>
      </c>
      <c r="F130">
        <v>4</v>
      </c>
      <c r="G130">
        <v>0.15</v>
      </c>
      <c r="H130" s="33">
        <v>45615</v>
      </c>
      <c r="I130">
        <f>Table2[[#This Row],[Sales]]*(1-Table2[[#This Row],[Discount]])</f>
        <v>781.30299999999988</v>
      </c>
    </row>
    <row r="131" spans="1:9" ht="15.75" customHeight="1" x14ac:dyDescent="0.3">
      <c r="A131" t="s">
        <v>76</v>
      </c>
      <c r="B131" t="s">
        <v>25</v>
      </c>
      <c r="C131" t="s">
        <v>12</v>
      </c>
      <c r="D131" t="s">
        <v>23</v>
      </c>
      <c r="E131">
        <v>258.51</v>
      </c>
      <c r="F131">
        <v>19</v>
      </c>
      <c r="G131">
        <v>0</v>
      </c>
      <c r="H131" s="33">
        <v>45616</v>
      </c>
      <c r="I131">
        <f>Table2[[#This Row],[Sales]]*(1-Table2[[#This Row],[Discount]])</f>
        <v>258.51</v>
      </c>
    </row>
    <row r="132" spans="1:9" ht="15.75" customHeight="1" x14ac:dyDescent="0.3">
      <c r="A132" t="s">
        <v>65</v>
      </c>
      <c r="B132" t="s">
        <v>63</v>
      </c>
      <c r="C132" t="s">
        <v>20</v>
      </c>
      <c r="D132" t="s">
        <v>13</v>
      </c>
      <c r="E132">
        <v>1213.48</v>
      </c>
      <c r="F132">
        <v>5</v>
      </c>
      <c r="G132">
        <v>0.05</v>
      </c>
      <c r="H132" s="33">
        <v>45616</v>
      </c>
      <c r="I132">
        <f>Table2[[#This Row],[Sales]]*(1-Table2[[#This Row],[Discount]])</f>
        <v>1152.806</v>
      </c>
    </row>
    <row r="133" spans="1:9" ht="15.75" customHeight="1" x14ac:dyDescent="0.3">
      <c r="A133" t="s">
        <v>59</v>
      </c>
      <c r="B133" t="s">
        <v>40</v>
      </c>
      <c r="C133" t="s">
        <v>36</v>
      </c>
      <c r="D133" t="s">
        <v>13</v>
      </c>
      <c r="E133">
        <v>1150.28</v>
      </c>
      <c r="F133">
        <v>8</v>
      </c>
      <c r="G133">
        <v>0.05</v>
      </c>
      <c r="H133" s="33">
        <v>45622</v>
      </c>
      <c r="I133">
        <f>Table2[[#This Row],[Sales]]*(1-Table2[[#This Row],[Discount]])</f>
        <v>1092.7659999999998</v>
      </c>
    </row>
    <row r="134" spans="1:9" ht="15.75" customHeight="1" x14ac:dyDescent="0.3">
      <c r="A134" t="s">
        <v>39</v>
      </c>
      <c r="B134" t="s">
        <v>73</v>
      </c>
      <c r="C134" t="s">
        <v>22</v>
      </c>
      <c r="D134" t="s">
        <v>29</v>
      </c>
      <c r="E134">
        <v>853.86</v>
      </c>
      <c r="F134">
        <v>8</v>
      </c>
      <c r="G134">
        <v>0.1</v>
      </c>
      <c r="H134" s="33">
        <v>45622</v>
      </c>
      <c r="I134">
        <f>Table2[[#This Row],[Sales]]*(1-Table2[[#This Row],[Discount]])</f>
        <v>768.47400000000005</v>
      </c>
    </row>
    <row r="135" spans="1:9" ht="15.75" customHeight="1" x14ac:dyDescent="0.3">
      <c r="A135" t="s">
        <v>77</v>
      </c>
      <c r="B135" t="s">
        <v>47</v>
      </c>
      <c r="C135" t="s">
        <v>22</v>
      </c>
      <c r="D135" t="s">
        <v>23</v>
      </c>
      <c r="E135">
        <v>1061.04</v>
      </c>
      <c r="F135">
        <v>1</v>
      </c>
      <c r="G135">
        <v>0</v>
      </c>
      <c r="H135" s="33">
        <v>45624</v>
      </c>
      <c r="I135">
        <f>Table2[[#This Row],[Sales]]*(1-Table2[[#This Row],[Discount]])</f>
        <v>1061.04</v>
      </c>
    </row>
    <row r="136" spans="1:9" ht="15.75" customHeight="1" x14ac:dyDescent="0.3">
      <c r="A136" t="s">
        <v>30</v>
      </c>
      <c r="B136" t="s">
        <v>45</v>
      </c>
      <c r="C136" t="s">
        <v>12</v>
      </c>
      <c r="D136" t="s">
        <v>23</v>
      </c>
      <c r="E136">
        <v>894.55</v>
      </c>
      <c r="F136">
        <v>19</v>
      </c>
      <c r="G136">
        <v>0.2</v>
      </c>
      <c r="H136" s="33">
        <v>45625</v>
      </c>
      <c r="I136">
        <f>Table2[[#This Row],[Sales]]*(1-Table2[[#This Row],[Discount]])</f>
        <v>715.64</v>
      </c>
    </row>
    <row r="137" spans="1:9" ht="15.75" customHeight="1" x14ac:dyDescent="0.3">
      <c r="A137" t="s">
        <v>27</v>
      </c>
      <c r="B137" t="s">
        <v>40</v>
      </c>
      <c r="C137" t="s">
        <v>26</v>
      </c>
      <c r="D137" t="s">
        <v>41</v>
      </c>
      <c r="E137">
        <v>833.91</v>
      </c>
      <c r="F137">
        <v>3</v>
      </c>
      <c r="G137">
        <v>0.05</v>
      </c>
      <c r="H137" s="33">
        <v>45626</v>
      </c>
      <c r="I137">
        <f>Table2[[#This Row],[Sales]]*(1-Table2[[#This Row],[Discount]])</f>
        <v>792.21449999999993</v>
      </c>
    </row>
    <row r="138" spans="1:9" ht="15.75" customHeight="1" x14ac:dyDescent="0.3">
      <c r="A138" t="s">
        <v>60</v>
      </c>
      <c r="B138" t="s">
        <v>73</v>
      </c>
      <c r="C138" t="s">
        <v>12</v>
      </c>
      <c r="D138" t="s">
        <v>29</v>
      </c>
      <c r="E138">
        <v>820.19</v>
      </c>
      <c r="F138">
        <v>4</v>
      </c>
      <c r="G138">
        <v>0.2</v>
      </c>
      <c r="H138" s="33">
        <v>45630</v>
      </c>
      <c r="I138">
        <f>Table2[[#This Row],[Sales]]*(1-Table2[[#This Row],[Discount]])</f>
        <v>656.15200000000004</v>
      </c>
    </row>
    <row r="139" spans="1:9" ht="15.75" customHeight="1" x14ac:dyDescent="0.3">
      <c r="A139" t="s">
        <v>60</v>
      </c>
      <c r="B139" t="s">
        <v>40</v>
      </c>
      <c r="C139" t="s">
        <v>36</v>
      </c>
      <c r="D139" t="s">
        <v>23</v>
      </c>
      <c r="E139">
        <v>511.74</v>
      </c>
      <c r="F139">
        <v>8</v>
      </c>
      <c r="G139">
        <v>0.05</v>
      </c>
      <c r="H139" s="33">
        <v>45631</v>
      </c>
      <c r="I139">
        <f>Table2[[#This Row],[Sales]]*(1-Table2[[#This Row],[Discount]])</f>
        <v>486.15299999999996</v>
      </c>
    </row>
    <row r="140" spans="1:9" ht="15.75" customHeight="1" x14ac:dyDescent="0.3">
      <c r="A140" t="s">
        <v>67</v>
      </c>
      <c r="B140" t="s">
        <v>63</v>
      </c>
      <c r="C140" t="s">
        <v>22</v>
      </c>
      <c r="D140" t="s">
        <v>29</v>
      </c>
      <c r="E140">
        <v>806.03</v>
      </c>
      <c r="F140">
        <v>19</v>
      </c>
      <c r="G140">
        <v>0.05</v>
      </c>
      <c r="H140" s="33">
        <v>45638</v>
      </c>
      <c r="I140">
        <f>Table2[[#This Row],[Sales]]*(1-Table2[[#This Row],[Discount]])</f>
        <v>765.72849999999994</v>
      </c>
    </row>
    <row r="141" spans="1:9" ht="15.75" customHeight="1" x14ac:dyDescent="0.3">
      <c r="A141" t="s">
        <v>30</v>
      </c>
      <c r="B141" t="s">
        <v>28</v>
      </c>
      <c r="C141" t="s">
        <v>36</v>
      </c>
      <c r="D141" t="s">
        <v>29</v>
      </c>
      <c r="E141">
        <v>1432.47</v>
      </c>
      <c r="F141">
        <v>16</v>
      </c>
      <c r="G141">
        <v>0.15</v>
      </c>
      <c r="H141" s="33">
        <v>45640</v>
      </c>
      <c r="I141">
        <f>Table2[[#This Row],[Sales]]*(1-Table2[[#This Row],[Discount]])</f>
        <v>1217.5995</v>
      </c>
    </row>
    <row r="142" spans="1:9" ht="15.75" customHeight="1" x14ac:dyDescent="0.3">
      <c r="A142" t="s">
        <v>76</v>
      </c>
      <c r="B142" t="s">
        <v>31</v>
      </c>
      <c r="C142" t="s">
        <v>36</v>
      </c>
      <c r="D142" t="s">
        <v>23</v>
      </c>
      <c r="E142">
        <v>1488.58</v>
      </c>
      <c r="F142">
        <v>10</v>
      </c>
      <c r="G142">
        <v>0.15</v>
      </c>
      <c r="H142" s="33">
        <v>45640</v>
      </c>
      <c r="I142">
        <f>Table2[[#This Row],[Sales]]*(1-Table2[[#This Row],[Discount]])</f>
        <v>1265.2929999999999</v>
      </c>
    </row>
    <row r="143" spans="1:9" ht="15.75" customHeight="1" x14ac:dyDescent="0.3">
      <c r="A143" t="s">
        <v>32</v>
      </c>
      <c r="B143" t="s">
        <v>68</v>
      </c>
      <c r="C143" t="s">
        <v>20</v>
      </c>
      <c r="D143" t="s">
        <v>13</v>
      </c>
      <c r="E143">
        <v>1231.26</v>
      </c>
      <c r="F143">
        <v>9</v>
      </c>
      <c r="G143">
        <v>0</v>
      </c>
      <c r="H143" s="33">
        <v>45646</v>
      </c>
      <c r="I143">
        <f>Table2[[#This Row],[Sales]]*(1-Table2[[#This Row],[Discount]])</f>
        <v>1231.26</v>
      </c>
    </row>
    <row r="144" spans="1:9" ht="15.75" customHeight="1" x14ac:dyDescent="0.3">
      <c r="A144" t="s">
        <v>32</v>
      </c>
      <c r="B144" t="s">
        <v>45</v>
      </c>
      <c r="C144" t="s">
        <v>12</v>
      </c>
      <c r="D144" t="s">
        <v>23</v>
      </c>
      <c r="E144">
        <v>1161.67</v>
      </c>
      <c r="F144">
        <v>19</v>
      </c>
      <c r="G144">
        <v>0.2</v>
      </c>
      <c r="H144" s="33">
        <v>45647</v>
      </c>
      <c r="I144">
        <f>Table2[[#This Row],[Sales]]*(1-Table2[[#This Row],[Discount]])</f>
        <v>929.33600000000013</v>
      </c>
    </row>
    <row r="145" spans="1:9" ht="15.75" customHeight="1" x14ac:dyDescent="0.3">
      <c r="A145" t="s">
        <v>51</v>
      </c>
      <c r="B145" t="s">
        <v>47</v>
      </c>
      <c r="C145" t="s">
        <v>36</v>
      </c>
      <c r="D145" t="s">
        <v>41</v>
      </c>
      <c r="E145">
        <v>388.23</v>
      </c>
      <c r="F145">
        <v>16</v>
      </c>
      <c r="G145">
        <v>0.05</v>
      </c>
      <c r="H145" s="33">
        <v>45650</v>
      </c>
      <c r="I145">
        <f>Table2[[#This Row],[Sales]]*(1-Table2[[#This Row],[Discount]])</f>
        <v>368.81849999999997</v>
      </c>
    </row>
    <row r="146" spans="1:9" ht="15.75" customHeight="1" x14ac:dyDescent="0.3">
      <c r="A146" t="s">
        <v>74</v>
      </c>
      <c r="B146" t="s">
        <v>33</v>
      </c>
      <c r="C146" t="s">
        <v>26</v>
      </c>
      <c r="D146" t="s">
        <v>17</v>
      </c>
      <c r="E146">
        <v>1589.42</v>
      </c>
      <c r="F146">
        <v>6</v>
      </c>
      <c r="G146">
        <v>0.15</v>
      </c>
      <c r="H146" s="33">
        <v>45651</v>
      </c>
      <c r="I146">
        <f>Table2[[#This Row],[Sales]]*(1-Table2[[#This Row],[Discount]])</f>
        <v>1351.0070000000001</v>
      </c>
    </row>
    <row r="147" spans="1:9" ht="15.75" customHeight="1" x14ac:dyDescent="0.3">
      <c r="A147" t="s">
        <v>30</v>
      </c>
      <c r="B147" t="s">
        <v>73</v>
      </c>
      <c r="C147" t="s">
        <v>26</v>
      </c>
      <c r="D147" t="s">
        <v>17</v>
      </c>
      <c r="E147">
        <v>336.66</v>
      </c>
      <c r="F147">
        <v>13</v>
      </c>
      <c r="G147">
        <v>0.2</v>
      </c>
      <c r="H147" s="33">
        <v>45651</v>
      </c>
      <c r="I147">
        <f>Table2[[#This Row],[Sales]]*(1-Table2[[#This Row],[Discount]])</f>
        <v>269.32800000000003</v>
      </c>
    </row>
    <row r="148" spans="1:9" ht="15.75" customHeight="1" x14ac:dyDescent="0.3">
      <c r="A148" t="s">
        <v>51</v>
      </c>
      <c r="B148" t="s">
        <v>25</v>
      </c>
      <c r="C148" t="s">
        <v>12</v>
      </c>
      <c r="D148" t="s">
        <v>13</v>
      </c>
      <c r="E148">
        <v>1353.79</v>
      </c>
      <c r="F148">
        <v>14</v>
      </c>
      <c r="G148">
        <v>0.1</v>
      </c>
      <c r="H148" s="33">
        <v>45656</v>
      </c>
      <c r="I148">
        <f>Table2[[#This Row],[Sales]]*(1-Table2[[#This Row],[Discount]])</f>
        <v>1218.4110000000001</v>
      </c>
    </row>
    <row r="149" spans="1:9" ht="15.75" customHeight="1" x14ac:dyDescent="0.3">
      <c r="A149" t="s">
        <v>65</v>
      </c>
      <c r="B149" t="s">
        <v>71</v>
      </c>
      <c r="C149" t="s">
        <v>36</v>
      </c>
      <c r="D149" t="s">
        <v>17</v>
      </c>
      <c r="E149">
        <v>662.61</v>
      </c>
      <c r="F149">
        <v>11</v>
      </c>
      <c r="G149">
        <v>0.05</v>
      </c>
      <c r="H149" s="33">
        <v>45658</v>
      </c>
      <c r="I149">
        <f>Table2[[#This Row],[Sales]]*(1-Table2[[#This Row],[Discount]])</f>
        <v>629.47950000000003</v>
      </c>
    </row>
    <row r="150" spans="1:9" ht="15.75" customHeight="1" x14ac:dyDescent="0.3">
      <c r="A150" t="s">
        <v>54</v>
      </c>
      <c r="B150" t="s">
        <v>50</v>
      </c>
      <c r="C150" t="s">
        <v>26</v>
      </c>
      <c r="D150" t="s">
        <v>41</v>
      </c>
      <c r="E150">
        <v>309.42</v>
      </c>
      <c r="F150">
        <v>1</v>
      </c>
      <c r="G150">
        <v>0.2</v>
      </c>
      <c r="H150" s="33">
        <v>45658</v>
      </c>
      <c r="I150">
        <f>Table2[[#This Row],[Sales]]*(1-Table2[[#This Row],[Discount]])</f>
        <v>247.53600000000003</v>
      </c>
    </row>
    <row r="151" spans="1:9" ht="15.75" customHeight="1" x14ac:dyDescent="0.3">
      <c r="A151" t="s">
        <v>65</v>
      </c>
      <c r="B151" t="s">
        <v>31</v>
      </c>
      <c r="C151" t="s">
        <v>26</v>
      </c>
      <c r="D151" t="s">
        <v>13</v>
      </c>
      <c r="E151">
        <v>884.63</v>
      </c>
      <c r="F151">
        <v>18</v>
      </c>
      <c r="G151">
        <v>0.1</v>
      </c>
      <c r="H151" s="33">
        <v>45659</v>
      </c>
      <c r="I151">
        <f>Table2[[#This Row],[Sales]]*(1-Table2[[#This Row],[Discount]])</f>
        <v>796.16700000000003</v>
      </c>
    </row>
    <row r="152" spans="1:9" ht="15.75" customHeight="1" x14ac:dyDescent="0.3">
      <c r="A152" t="s">
        <v>54</v>
      </c>
      <c r="B152" t="s">
        <v>25</v>
      </c>
      <c r="C152" t="s">
        <v>36</v>
      </c>
      <c r="D152" t="s">
        <v>41</v>
      </c>
      <c r="E152">
        <v>745.05</v>
      </c>
      <c r="F152">
        <v>10</v>
      </c>
      <c r="G152">
        <v>0.1</v>
      </c>
      <c r="H152" s="33">
        <v>45660</v>
      </c>
      <c r="I152">
        <f>Table2[[#This Row],[Sales]]*(1-Table2[[#This Row],[Discount]])</f>
        <v>670.54499999999996</v>
      </c>
    </row>
    <row r="153" spans="1:9" ht="15.75" customHeight="1" x14ac:dyDescent="0.3">
      <c r="A153" t="s">
        <v>62</v>
      </c>
      <c r="B153" t="s">
        <v>19</v>
      </c>
      <c r="C153" t="s">
        <v>22</v>
      </c>
      <c r="D153" t="s">
        <v>17</v>
      </c>
      <c r="E153">
        <v>870.23</v>
      </c>
      <c r="F153">
        <v>5</v>
      </c>
      <c r="G153">
        <v>0.05</v>
      </c>
      <c r="H153" s="33">
        <v>45660</v>
      </c>
      <c r="I153">
        <f>Table2[[#This Row],[Sales]]*(1-Table2[[#This Row],[Discount]])</f>
        <v>826.71849999999995</v>
      </c>
    </row>
    <row r="154" spans="1:9" ht="15.75" customHeight="1" x14ac:dyDescent="0.3">
      <c r="A154" t="s">
        <v>37</v>
      </c>
      <c r="B154" t="s">
        <v>31</v>
      </c>
      <c r="C154" t="s">
        <v>12</v>
      </c>
      <c r="D154" t="s">
        <v>29</v>
      </c>
      <c r="E154">
        <v>862.19</v>
      </c>
      <c r="F154">
        <v>18</v>
      </c>
      <c r="G154">
        <v>0.05</v>
      </c>
      <c r="H154" s="33">
        <v>45663</v>
      </c>
      <c r="I154">
        <f>Table2[[#This Row],[Sales]]*(1-Table2[[#This Row],[Discount]])</f>
        <v>819.08050000000003</v>
      </c>
    </row>
    <row r="155" spans="1:9" ht="15.75" customHeight="1" x14ac:dyDescent="0.3">
      <c r="A155" t="s">
        <v>75</v>
      </c>
      <c r="B155" t="s">
        <v>61</v>
      </c>
      <c r="C155" t="s">
        <v>26</v>
      </c>
      <c r="D155" t="s">
        <v>17</v>
      </c>
      <c r="E155">
        <v>1171.18</v>
      </c>
      <c r="F155">
        <v>19</v>
      </c>
      <c r="G155">
        <v>0.05</v>
      </c>
      <c r="H155" s="33">
        <v>45667</v>
      </c>
      <c r="I155">
        <f>Table2[[#This Row],[Sales]]*(1-Table2[[#This Row],[Discount]])</f>
        <v>1112.6210000000001</v>
      </c>
    </row>
    <row r="156" spans="1:9" ht="15.75" customHeight="1" x14ac:dyDescent="0.3">
      <c r="A156" t="s">
        <v>60</v>
      </c>
      <c r="B156" t="s">
        <v>16</v>
      </c>
      <c r="C156" t="s">
        <v>22</v>
      </c>
      <c r="D156" t="s">
        <v>29</v>
      </c>
      <c r="E156">
        <v>1054.56</v>
      </c>
      <c r="F156">
        <v>11</v>
      </c>
      <c r="G156">
        <v>0.1</v>
      </c>
      <c r="H156" s="33">
        <v>45669</v>
      </c>
      <c r="I156">
        <f>Table2[[#This Row],[Sales]]*(1-Table2[[#This Row],[Discount]])</f>
        <v>949.10399999999993</v>
      </c>
    </row>
    <row r="157" spans="1:9" ht="15.75" customHeight="1" x14ac:dyDescent="0.3">
      <c r="A157" t="s">
        <v>60</v>
      </c>
      <c r="B157" t="s">
        <v>25</v>
      </c>
      <c r="C157" t="s">
        <v>26</v>
      </c>
      <c r="D157" t="s">
        <v>23</v>
      </c>
      <c r="E157">
        <v>1681.21</v>
      </c>
      <c r="F157">
        <v>5</v>
      </c>
      <c r="G157">
        <v>0.2</v>
      </c>
      <c r="H157" s="33">
        <v>45670</v>
      </c>
      <c r="I157">
        <f>Table2[[#This Row],[Sales]]*(1-Table2[[#This Row],[Discount]])</f>
        <v>1344.9680000000001</v>
      </c>
    </row>
    <row r="158" spans="1:9" ht="15.75" customHeight="1" x14ac:dyDescent="0.3">
      <c r="A158" t="s">
        <v>60</v>
      </c>
      <c r="B158" t="s">
        <v>38</v>
      </c>
      <c r="C158" t="s">
        <v>12</v>
      </c>
      <c r="D158" t="s">
        <v>17</v>
      </c>
      <c r="E158">
        <v>379.77</v>
      </c>
      <c r="F158">
        <v>9</v>
      </c>
      <c r="G158">
        <v>0.05</v>
      </c>
      <c r="H158" s="33">
        <v>45673</v>
      </c>
      <c r="I158">
        <f>Table2[[#This Row],[Sales]]*(1-Table2[[#This Row],[Discount]])</f>
        <v>360.78149999999999</v>
      </c>
    </row>
    <row r="159" spans="1:9" ht="15.75" customHeight="1" x14ac:dyDescent="0.3">
      <c r="A159" t="s">
        <v>46</v>
      </c>
      <c r="B159" t="s">
        <v>47</v>
      </c>
      <c r="C159" t="s">
        <v>36</v>
      </c>
      <c r="D159" t="s">
        <v>17</v>
      </c>
      <c r="E159">
        <v>1076.33</v>
      </c>
      <c r="F159">
        <v>2</v>
      </c>
      <c r="G159">
        <v>0.1</v>
      </c>
      <c r="H159" s="33">
        <v>45674</v>
      </c>
      <c r="I159">
        <f>Table2[[#This Row],[Sales]]*(1-Table2[[#This Row],[Discount]])</f>
        <v>968.697</v>
      </c>
    </row>
    <row r="160" spans="1:9" ht="15.75" customHeight="1" x14ac:dyDescent="0.3">
      <c r="A160" t="s">
        <v>46</v>
      </c>
      <c r="B160" t="s">
        <v>33</v>
      </c>
      <c r="C160" t="s">
        <v>36</v>
      </c>
      <c r="D160" t="s">
        <v>41</v>
      </c>
      <c r="E160">
        <v>1250.71</v>
      </c>
      <c r="F160">
        <v>7</v>
      </c>
      <c r="G160">
        <v>0</v>
      </c>
      <c r="H160" s="33">
        <v>45674</v>
      </c>
      <c r="I160">
        <f>Table2[[#This Row],[Sales]]*(1-Table2[[#This Row],[Discount]])</f>
        <v>1250.71</v>
      </c>
    </row>
    <row r="161" spans="1:9" ht="15.75" customHeight="1" x14ac:dyDescent="0.3">
      <c r="A161" t="s">
        <v>42</v>
      </c>
      <c r="B161" t="s">
        <v>19</v>
      </c>
      <c r="C161" t="s">
        <v>22</v>
      </c>
      <c r="D161" t="s">
        <v>17</v>
      </c>
      <c r="E161">
        <v>1118.3399999999999</v>
      </c>
      <c r="F161">
        <v>6</v>
      </c>
      <c r="G161">
        <v>0.2</v>
      </c>
      <c r="H161" s="33">
        <v>45674</v>
      </c>
      <c r="I161">
        <f>Table2[[#This Row],[Sales]]*(1-Table2[[#This Row],[Discount]])</f>
        <v>894.67200000000003</v>
      </c>
    </row>
    <row r="162" spans="1:9" ht="15.75" customHeight="1" x14ac:dyDescent="0.3">
      <c r="A162" t="s">
        <v>72</v>
      </c>
      <c r="B162" t="s">
        <v>55</v>
      </c>
      <c r="C162" t="s">
        <v>26</v>
      </c>
      <c r="D162" t="s">
        <v>17</v>
      </c>
      <c r="E162">
        <v>1622.62</v>
      </c>
      <c r="F162">
        <v>12</v>
      </c>
      <c r="G162">
        <v>0.2</v>
      </c>
      <c r="H162" s="33">
        <v>45677</v>
      </c>
      <c r="I162">
        <f>Table2[[#This Row],[Sales]]*(1-Table2[[#This Row],[Discount]])</f>
        <v>1298.096</v>
      </c>
    </row>
    <row r="163" spans="1:9" ht="15.75" customHeight="1" x14ac:dyDescent="0.3">
      <c r="A163" t="s">
        <v>77</v>
      </c>
      <c r="B163" t="s">
        <v>50</v>
      </c>
      <c r="C163" t="s">
        <v>26</v>
      </c>
      <c r="D163" t="s">
        <v>13</v>
      </c>
      <c r="E163">
        <v>640.64</v>
      </c>
      <c r="F163">
        <v>11</v>
      </c>
      <c r="G163">
        <v>0.2</v>
      </c>
      <c r="H163" s="33">
        <v>45678</v>
      </c>
      <c r="I163">
        <f>Table2[[#This Row],[Sales]]*(1-Table2[[#This Row],[Discount]])</f>
        <v>512.51200000000006</v>
      </c>
    </row>
    <row r="164" spans="1:9" ht="15.75" customHeight="1" x14ac:dyDescent="0.3">
      <c r="A164" t="s">
        <v>24</v>
      </c>
      <c r="B164" t="s">
        <v>45</v>
      </c>
      <c r="C164" t="s">
        <v>12</v>
      </c>
      <c r="D164" t="s">
        <v>17</v>
      </c>
      <c r="E164">
        <v>585.16</v>
      </c>
      <c r="F164">
        <v>17</v>
      </c>
      <c r="G164">
        <v>0.1</v>
      </c>
      <c r="H164" s="33">
        <v>45684</v>
      </c>
      <c r="I164">
        <f>Table2[[#This Row],[Sales]]*(1-Table2[[#This Row],[Discount]])</f>
        <v>526.64400000000001</v>
      </c>
    </row>
    <row r="165" spans="1:9" ht="15.75" customHeight="1" x14ac:dyDescent="0.3">
      <c r="A165" t="s">
        <v>24</v>
      </c>
      <c r="B165" t="s">
        <v>33</v>
      </c>
      <c r="C165" t="s">
        <v>20</v>
      </c>
      <c r="D165" t="s">
        <v>17</v>
      </c>
      <c r="E165">
        <v>1109.98</v>
      </c>
      <c r="F165">
        <v>5</v>
      </c>
      <c r="G165">
        <v>0.2</v>
      </c>
      <c r="H165" s="33">
        <v>45690</v>
      </c>
      <c r="I165">
        <f>Table2[[#This Row],[Sales]]*(1-Table2[[#This Row],[Discount]])</f>
        <v>887.98400000000004</v>
      </c>
    </row>
    <row r="166" spans="1:9" ht="15.75" customHeight="1" x14ac:dyDescent="0.3">
      <c r="A166" t="s">
        <v>60</v>
      </c>
      <c r="B166" t="s">
        <v>47</v>
      </c>
      <c r="C166" t="s">
        <v>20</v>
      </c>
      <c r="D166" t="s">
        <v>13</v>
      </c>
      <c r="E166">
        <v>1098.08</v>
      </c>
      <c r="F166">
        <v>9</v>
      </c>
      <c r="G166">
        <v>0.1</v>
      </c>
      <c r="H166" s="33">
        <v>45692</v>
      </c>
      <c r="I166">
        <f>Table2[[#This Row],[Sales]]*(1-Table2[[#This Row],[Discount]])</f>
        <v>988.27199999999993</v>
      </c>
    </row>
    <row r="167" spans="1:9" ht="15.75" customHeight="1" x14ac:dyDescent="0.3">
      <c r="A167" t="s">
        <v>67</v>
      </c>
      <c r="B167" t="s">
        <v>50</v>
      </c>
      <c r="C167" t="s">
        <v>12</v>
      </c>
      <c r="D167" t="s">
        <v>41</v>
      </c>
      <c r="E167">
        <v>827.25</v>
      </c>
      <c r="F167">
        <v>7</v>
      </c>
      <c r="G167">
        <v>0.1</v>
      </c>
      <c r="H167" s="33">
        <v>45693</v>
      </c>
      <c r="I167">
        <f>Table2[[#This Row],[Sales]]*(1-Table2[[#This Row],[Discount]])</f>
        <v>744.52499999999998</v>
      </c>
    </row>
    <row r="168" spans="1:9" ht="15.75" customHeight="1" x14ac:dyDescent="0.3">
      <c r="A168" t="s">
        <v>72</v>
      </c>
      <c r="B168" t="s">
        <v>31</v>
      </c>
      <c r="C168" t="s">
        <v>36</v>
      </c>
      <c r="D168" t="s">
        <v>17</v>
      </c>
      <c r="E168">
        <v>741.88</v>
      </c>
      <c r="F168">
        <v>16</v>
      </c>
      <c r="G168">
        <v>0.1</v>
      </c>
      <c r="H168" s="33">
        <v>45695</v>
      </c>
      <c r="I168">
        <f>Table2[[#This Row],[Sales]]*(1-Table2[[#This Row],[Discount]])</f>
        <v>667.69200000000001</v>
      </c>
    </row>
    <row r="169" spans="1:9" ht="15.75" customHeight="1" x14ac:dyDescent="0.3">
      <c r="A169" t="s">
        <v>74</v>
      </c>
      <c r="B169" t="s">
        <v>11</v>
      </c>
      <c r="C169" t="s">
        <v>20</v>
      </c>
      <c r="D169" t="s">
        <v>41</v>
      </c>
      <c r="E169">
        <v>1311.26</v>
      </c>
      <c r="F169">
        <v>6</v>
      </c>
      <c r="G169">
        <v>0.1</v>
      </c>
      <c r="H169" s="33">
        <v>45698</v>
      </c>
      <c r="I169">
        <f>Table2[[#This Row],[Sales]]*(1-Table2[[#This Row],[Discount]])</f>
        <v>1180.134</v>
      </c>
    </row>
    <row r="170" spans="1:9" ht="15.75" customHeight="1" x14ac:dyDescent="0.3">
      <c r="A170" t="s">
        <v>74</v>
      </c>
      <c r="B170" t="s">
        <v>33</v>
      </c>
      <c r="C170" t="s">
        <v>22</v>
      </c>
      <c r="D170" t="s">
        <v>41</v>
      </c>
      <c r="E170">
        <v>573.32000000000005</v>
      </c>
      <c r="F170">
        <v>19</v>
      </c>
      <c r="G170">
        <v>0.1</v>
      </c>
      <c r="H170" s="33">
        <v>45703</v>
      </c>
      <c r="I170">
        <f>Table2[[#This Row],[Sales]]*(1-Table2[[#This Row],[Discount]])</f>
        <v>515.98800000000006</v>
      </c>
    </row>
    <row r="171" spans="1:9" ht="15.75" customHeight="1" x14ac:dyDescent="0.3">
      <c r="A171" t="s">
        <v>54</v>
      </c>
      <c r="B171" t="s">
        <v>25</v>
      </c>
      <c r="C171" t="s">
        <v>12</v>
      </c>
      <c r="D171" t="s">
        <v>23</v>
      </c>
      <c r="E171">
        <v>1115.22</v>
      </c>
      <c r="F171">
        <v>14</v>
      </c>
      <c r="G171">
        <v>0.2</v>
      </c>
      <c r="H171" s="33">
        <v>45705</v>
      </c>
      <c r="I171">
        <f>Table2[[#This Row],[Sales]]*(1-Table2[[#This Row],[Discount]])</f>
        <v>892.17600000000004</v>
      </c>
    </row>
    <row r="172" spans="1:9" ht="15.75" customHeight="1" x14ac:dyDescent="0.3">
      <c r="A172" t="s">
        <v>15</v>
      </c>
      <c r="B172" t="s">
        <v>47</v>
      </c>
      <c r="C172" t="s">
        <v>26</v>
      </c>
      <c r="D172" t="s">
        <v>17</v>
      </c>
      <c r="E172">
        <v>845.84</v>
      </c>
      <c r="F172">
        <v>4</v>
      </c>
      <c r="G172">
        <v>0</v>
      </c>
      <c r="H172" s="33">
        <v>45707</v>
      </c>
      <c r="I172">
        <f>Table2[[#This Row],[Sales]]*(1-Table2[[#This Row],[Discount]])</f>
        <v>845.84</v>
      </c>
    </row>
    <row r="173" spans="1:9" ht="15.75" customHeight="1" x14ac:dyDescent="0.3">
      <c r="A173" t="s">
        <v>32</v>
      </c>
      <c r="B173" t="s">
        <v>57</v>
      </c>
      <c r="C173" t="s">
        <v>12</v>
      </c>
      <c r="D173" t="s">
        <v>23</v>
      </c>
      <c r="E173">
        <v>1029.8</v>
      </c>
      <c r="F173">
        <v>3</v>
      </c>
      <c r="G173">
        <v>0</v>
      </c>
      <c r="H173" s="33">
        <v>45708</v>
      </c>
      <c r="I173">
        <f>Table2[[#This Row],[Sales]]*(1-Table2[[#This Row],[Discount]])</f>
        <v>1029.8</v>
      </c>
    </row>
    <row r="174" spans="1:9" ht="15.75" customHeight="1" x14ac:dyDescent="0.3">
      <c r="A174" t="s">
        <v>34</v>
      </c>
      <c r="B174" t="s">
        <v>33</v>
      </c>
      <c r="C174" t="s">
        <v>26</v>
      </c>
      <c r="D174" t="s">
        <v>13</v>
      </c>
      <c r="E174">
        <v>1189.83</v>
      </c>
      <c r="F174">
        <v>2</v>
      </c>
      <c r="G174">
        <v>0.2</v>
      </c>
      <c r="H174" s="33">
        <v>45709</v>
      </c>
      <c r="I174">
        <f>Table2[[#This Row],[Sales]]*(1-Table2[[#This Row],[Discount]])</f>
        <v>951.86400000000003</v>
      </c>
    </row>
    <row r="175" spans="1:9" ht="15.75" customHeight="1" x14ac:dyDescent="0.3">
      <c r="A175" t="s">
        <v>69</v>
      </c>
      <c r="B175" t="s">
        <v>45</v>
      </c>
      <c r="C175" t="s">
        <v>22</v>
      </c>
      <c r="D175" t="s">
        <v>13</v>
      </c>
      <c r="E175">
        <v>704.28</v>
      </c>
      <c r="F175">
        <v>15</v>
      </c>
      <c r="G175">
        <v>0.2</v>
      </c>
      <c r="H175" s="33">
        <v>45712</v>
      </c>
      <c r="I175">
        <f>Table2[[#This Row],[Sales]]*(1-Table2[[#This Row],[Discount]])</f>
        <v>563.42399999999998</v>
      </c>
    </row>
    <row r="176" spans="1:9" ht="15.75" customHeight="1" x14ac:dyDescent="0.3">
      <c r="A176" t="s">
        <v>67</v>
      </c>
      <c r="B176" t="s">
        <v>49</v>
      </c>
      <c r="C176" t="s">
        <v>36</v>
      </c>
      <c r="D176" t="s">
        <v>41</v>
      </c>
      <c r="E176">
        <v>1618.22</v>
      </c>
      <c r="F176">
        <v>12</v>
      </c>
      <c r="G176">
        <v>0.2</v>
      </c>
      <c r="H176" s="33">
        <v>45712</v>
      </c>
      <c r="I176">
        <f>Table2[[#This Row],[Sales]]*(1-Table2[[#This Row],[Discount]])</f>
        <v>1294.576</v>
      </c>
    </row>
    <row r="177" spans="1:9" ht="15.75" customHeight="1" x14ac:dyDescent="0.3">
      <c r="A177" t="s">
        <v>75</v>
      </c>
      <c r="B177" t="s">
        <v>55</v>
      </c>
      <c r="C177" t="s">
        <v>36</v>
      </c>
      <c r="D177" t="s">
        <v>13</v>
      </c>
      <c r="E177">
        <v>1014.43</v>
      </c>
      <c r="F177">
        <v>2</v>
      </c>
      <c r="G177">
        <v>0.15</v>
      </c>
      <c r="H177" s="33">
        <v>45713</v>
      </c>
      <c r="I177">
        <f>Table2[[#This Row],[Sales]]*(1-Table2[[#This Row],[Discount]])</f>
        <v>862.26549999999997</v>
      </c>
    </row>
    <row r="178" spans="1:9" ht="15.75" customHeight="1" x14ac:dyDescent="0.3">
      <c r="A178" t="s">
        <v>77</v>
      </c>
      <c r="B178" t="s">
        <v>33</v>
      </c>
      <c r="C178" t="s">
        <v>36</v>
      </c>
      <c r="D178" t="s">
        <v>17</v>
      </c>
      <c r="E178">
        <v>826.97</v>
      </c>
      <c r="F178">
        <v>18</v>
      </c>
      <c r="G178">
        <v>0.2</v>
      </c>
      <c r="H178" s="33">
        <v>45715</v>
      </c>
      <c r="I178">
        <f>Table2[[#This Row],[Sales]]*(1-Table2[[#This Row],[Discount]])</f>
        <v>661.57600000000002</v>
      </c>
    </row>
    <row r="179" spans="1:9" ht="15.75" customHeight="1" x14ac:dyDescent="0.3">
      <c r="A179" t="s">
        <v>18</v>
      </c>
      <c r="B179" t="s">
        <v>33</v>
      </c>
      <c r="C179" t="s">
        <v>36</v>
      </c>
      <c r="D179" t="s">
        <v>17</v>
      </c>
      <c r="E179">
        <v>1022.23</v>
      </c>
      <c r="F179">
        <v>8</v>
      </c>
      <c r="G179">
        <v>0.1</v>
      </c>
      <c r="H179" s="33">
        <v>45717</v>
      </c>
      <c r="I179">
        <f>Table2[[#This Row],[Sales]]*(1-Table2[[#This Row],[Discount]])</f>
        <v>920.00700000000006</v>
      </c>
    </row>
    <row r="180" spans="1:9" ht="15.75" customHeight="1" x14ac:dyDescent="0.3">
      <c r="A180" t="s">
        <v>74</v>
      </c>
      <c r="B180" t="s">
        <v>31</v>
      </c>
      <c r="C180" t="s">
        <v>20</v>
      </c>
      <c r="D180" t="s">
        <v>13</v>
      </c>
      <c r="E180">
        <v>1099.69</v>
      </c>
      <c r="F180">
        <v>6</v>
      </c>
      <c r="G180">
        <v>0</v>
      </c>
      <c r="H180" s="33">
        <v>45718</v>
      </c>
      <c r="I180">
        <f>Table2[[#This Row],[Sales]]*(1-Table2[[#This Row],[Discount]])</f>
        <v>1099.69</v>
      </c>
    </row>
    <row r="181" spans="1:9" ht="15.75" customHeight="1" x14ac:dyDescent="0.3">
      <c r="A181" t="s">
        <v>54</v>
      </c>
      <c r="B181" t="s">
        <v>66</v>
      </c>
      <c r="C181" t="s">
        <v>26</v>
      </c>
      <c r="D181" t="s">
        <v>13</v>
      </c>
      <c r="E181">
        <v>710.52</v>
      </c>
      <c r="F181">
        <v>8</v>
      </c>
      <c r="G181">
        <v>0.1</v>
      </c>
      <c r="H181" s="33">
        <v>45721</v>
      </c>
      <c r="I181">
        <f>Table2[[#This Row],[Sales]]*(1-Table2[[#This Row],[Discount]])</f>
        <v>639.46799999999996</v>
      </c>
    </row>
    <row r="182" spans="1:9" ht="15.75" customHeight="1" x14ac:dyDescent="0.3">
      <c r="A182" t="s">
        <v>54</v>
      </c>
      <c r="B182" t="s">
        <v>61</v>
      </c>
      <c r="C182" t="s">
        <v>26</v>
      </c>
      <c r="D182" t="s">
        <v>13</v>
      </c>
      <c r="E182">
        <v>499.18</v>
      </c>
      <c r="F182">
        <v>15</v>
      </c>
      <c r="G182">
        <v>0.2</v>
      </c>
      <c r="H182" s="33">
        <v>45724</v>
      </c>
      <c r="I182">
        <f>Table2[[#This Row],[Sales]]*(1-Table2[[#This Row],[Discount]])</f>
        <v>399.34400000000005</v>
      </c>
    </row>
    <row r="183" spans="1:9" ht="15.75" customHeight="1" x14ac:dyDescent="0.3">
      <c r="A183" t="s">
        <v>39</v>
      </c>
      <c r="B183" t="s">
        <v>40</v>
      </c>
      <c r="C183" t="s">
        <v>22</v>
      </c>
      <c r="D183" t="s">
        <v>13</v>
      </c>
      <c r="E183">
        <v>1064.19</v>
      </c>
      <c r="F183">
        <v>18</v>
      </c>
      <c r="G183">
        <v>0.05</v>
      </c>
      <c r="H183" s="33">
        <v>45725</v>
      </c>
      <c r="I183">
        <f>Table2[[#This Row],[Sales]]*(1-Table2[[#This Row],[Discount]])</f>
        <v>1010.9805</v>
      </c>
    </row>
    <row r="184" spans="1:9" ht="15.75" customHeight="1" x14ac:dyDescent="0.3">
      <c r="A184" t="s">
        <v>69</v>
      </c>
      <c r="B184" t="s">
        <v>40</v>
      </c>
      <c r="C184" t="s">
        <v>20</v>
      </c>
      <c r="D184" t="s">
        <v>41</v>
      </c>
      <c r="E184">
        <v>438.76</v>
      </c>
      <c r="F184">
        <v>18</v>
      </c>
      <c r="G184">
        <v>0.05</v>
      </c>
      <c r="H184" s="33">
        <v>45726</v>
      </c>
      <c r="I184">
        <f>Table2[[#This Row],[Sales]]*(1-Table2[[#This Row],[Discount]])</f>
        <v>416.82199999999995</v>
      </c>
    </row>
    <row r="185" spans="1:9" ht="15.75" customHeight="1" x14ac:dyDescent="0.3">
      <c r="A185" t="s">
        <v>43</v>
      </c>
      <c r="B185" t="s">
        <v>57</v>
      </c>
      <c r="C185" t="s">
        <v>12</v>
      </c>
      <c r="D185" t="s">
        <v>17</v>
      </c>
      <c r="E185">
        <v>864.98</v>
      </c>
      <c r="F185">
        <v>2</v>
      </c>
      <c r="G185">
        <v>0.05</v>
      </c>
      <c r="H185" s="33">
        <v>45727</v>
      </c>
      <c r="I185">
        <f>Table2[[#This Row],[Sales]]*(1-Table2[[#This Row],[Discount]])</f>
        <v>821.73099999999999</v>
      </c>
    </row>
    <row r="186" spans="1:9" ht="15.75" customHeight="1" x14ac:dyDescent="0.3">
      <c r="A186" t="s">
        <v>59</v>
      </c>
      <c r="B186" t="s">
        <v>57</v>
      </c>
      <c r="C186" t="s">
        <v>12</v>
      </c>
      <c r="D186" t="s">
        <v>29</v>
      </c>
      <c r="E186">
        <v>984.93</v>
      </c>
      <c r="F186">
        <v>14</v>
      </c>
      <c r="G186">
        <v>0.2</v>
      </c>
      <c r="H186" s="33">
        <v>45733</v>
      </c>
      <c r="I186">
        <f>Table2[[#This Row],[Sales]]*(1-Table2[[#This Row],[Discount]])</f>
        <v>787.94399999999996</v>
      </c>
    </row>
    <row r="187" spans="1:9" ht="15.75" customHeight="1" x14ac:dyDescent="0.3">
      <c r="A187" t="s">
        <v>27</v>
      </c>
      <c r="B187" t="s">
        <v>57</v>
      </c>
      <c r="C187" t="s">
        <v>12</v>
      </c>
      <c r="D187" t="s">
        <v>17</v>
      </c>
      <c r="E187">
        <v>1493.49</v>
      </c>
      <c r="F187">
        <v>18</v>
      </c>
      <c r="G187">
        <v>0</v>
      </c>
      <c r="H187" s="33">
        <v>45734</v>
      </c>
      <c r="I187">
        <f>Table2[[#This Row],[Sales]]*(1-Table2[[#This Row],[Discount]])</f>
        <v>1493.49</v>
      </c>
    </row>
    <row r="188" spans="1:9" ht="15.75" customHeight="1" x14ac:dyDescent="0.3">
      <c r="A188" t="s">
        <v>34</v>
      </c>
      <c r="B188" t="s">
        <v>55</v>
      </c>
      <c r="C188" t="s">
        <v>22</v>
      </c>
      <c r="D188" t="s">
        <v>17</v>
      </c>
      <c r="E188">
        <v>689.43</v>
      </c>
      <c r="F188">
        <v>9</v>
      </c>
      <c r="G188">
        <v>0.1</v>
      </c>
      <c r="H188" s="33">
        <v>45736</v>
      </c>
      <c r="I188">
        <f>Table2[[#This Row],[Sales]]*(1-Table2[[#This Row],[Discount]])</f>
        <v>620.48699999999997</v>
      </c>
    </row>
    <row r="189" spans="1:9" ht="15.75" customHeight="1" x14ac:dyDescent="0.3">
      <c r="A189" t="s">
        <v>42</v>
      </c>
      <c r="B189" t="s">
        <v>61</v>
      </c>
      <c r="C189" t="s">
        <v>22</v>
      </c>
      <c r="D189" t="s">
        <v>17</v>
      </c>
      <c r="E189">
        <v>682.24</v>
      </c>
      <c r="F189">
        <v>1</v>
      </c>
      <c r="G189">
        <v>0</v>
      </c>
      <c r="H189" s="33">
        <v>45738</v>
      </c>
      <c r="I189">
        <f>Table2[[#This Row],[Sales]]*(1-Table2[[#This Row],[Discount]])</f>
        <v>682.24</v>
      </c>
    </row>
    <row r="190" spans="1:9" ht="15.75" customHeight="1" x14ac:dyDescent="0.3">
      <c r="A190" t="s">
        <v>43</v>
      </c>
      <c r="B190" t="s">
        <v>28</v>
      </c>
      <c r="C190" t="s">
        <v>26</v>
      </c>
      <c r="D190" t="s">
        <v>23</v>
      </c>
      <c r="E190">
        <v>458.54</v>
      </c>
      <c r="F190">
        <v>15</v>
      </c>
      <c r="G190">
        <v>0.2</v>
      </c>
      <c r="H190" s="33">
        <v>45741</v>
      </c>
      <c r="I190">
        <f>Table2[[#This Row],[Sales]]*(1-Table2[[#This Row],[Discount]])</f>
        <v>366.83200000000005</v>
      </c>
    </row>
    <row r="191" spans="1:9" ht="15.75" customHeight="1" x14ac:dyDescent="0.3">
      <c r="A191" t="s">
        <v>34</v>
      </c>
      <c r="B191" t="s">
        <v>28</v>
      </c>
      <c r="C191" t="s">
        <v>22</v>
      </c>
      <c r="D191" t="s">
        <v>29</v>
      </c>
      <c r="E191">
        <v>1184.25</v>
      </c>
      <c r="F191">
        <v>11</v>
      </c>
      <c r="G191">
        <v>0.2</v>
      </c>
      <c r="H191" s="33">
        <v>45742</v>
      </c>
      <c r="I191">
        <f>Table2[[#This Row],[Sales]]*(1-Table2[[#This Row],[Discount]])</f>
        <v>947.40000000000009</v>
      </c>
    </row>
    <row r="192" spans="1:9" ht="15.75" customHeight="1" x14ac:dyDescent="0.3">
      <c r="A192" t="s">
        <v>27</v>
      </c>
      <c r="B192" t="s">
        <v>11</v>
      </c>
      <c r="C192" t="s">
        <v>22</v>
      </c>
      <c r="D192" t="s">
        <v>17</v>
      </c>
      <c r="E192">
        <v>762.14</v>
      </c>
      <c r="F192">
        <v>9</v>
      </c>
      <c r="G192">
        <v>0</v>
      </c>
      <c r="H192" s="33">
        <v>45743</v>
      </c>
      <c r="I192">
        <f>Table2[[#This Row],[Sales]]*(1-Table2[[#This Row],[Discount]])</f>
        <v>762.14</v>
      </c>
    </row>
    <row r="193" spans="1:9" ht="15.75" customHeight="1" x14ac:dyDescent="0.3">
      <c r="A193" t="s">
        <v>24</v>
      </c>
      <c r="B193" t="s">
        <v>55</v>
      </c>
      <c r="C193" t="s">
        <v>26</v>
      </c>
      <c r="D193" t="s">
        <v>13</v>
      </c>
      <c r="E193">
        <v>750.71</v>
      </c>
      <c r="F193">
        <v>10</v>
      </c>
      <c r="G193">
        <v>0.15</v>
      </c>
      <c r="H193" s="33">
        <v>45743</v>
      </c>
      <c r="I193">
        <f>Table2[[#This Row],[Sales]]*(1-Table2[[#This Row],[Discount]])</f>
        <v>638.10350000000005</v>
      </c>
    </row>
    <row r="194" spans="1:9" ht="15.75" customHeight="1" x14ac:dyDescent="0.3">
      <c r="A194" t="s">
        <v>77</v>
      </c>
      <c r="B194" t="s">
        <v>73</v>
      </c>
      <c r="C194" t="s">
        <v>36</v>
      </c>
      <c r="D194" t="s">
        <v>17</v>
      </c>
      <c r="E194">
        <v>1456.94</v>
      </c>
      <c r="F194">
        <v>14</v>
      </c>
      <c r="G194">
        <v>0.05</v>
      </c>
      <c r="H194" s="33">
        <v>45745</v>
      </c>
      <c r="I194">
        <f>Table2[[#This Row],[Sales]]*(1-Table2[[#This Row],[Discount]])</f>
        <v>1384.0930000000001</v>
      </c>
    </row>
    <row r="195" spans="1:9" ht="15.75" customHeight="1" x14ac:dyDescent="0.3">
      <c r="A195" t="s">
        <v>46</v>
      </c>
      <c r="B195" t="s">
        <v>63</v>
      </c>
      <c r="C195" t="s">
        <v>20</v>
      </c>
      <c r="D195" t="s">
        <v>29</v>
      </c>
      <c r="E195">
        <v>1093.3800000000001</v>
      </c>
      <c r="F195">
        <v>17</v>
      </c>
      <c r="G195">
        <v>0.1</v>
      </c>
      <c r="H195" s="33">
        <v>45745</v>
      </c>
      <c r="I195">
        <f>Table2[[#This Row],[Sales]]*(1-Table2[[#This Row],[Discount]])</f>
        <v>984.04200000000014</v>
      </c>
    </row>
    <row r="196" spans="1:9" ht="15.75" customHeight="1" x14ac:dyDescent="0.3">
      <c r="A196" t="s">
        <v>39</v>
      </c>
      <c r="B196" t="s">
        <v>45</v>
      </c>
      <c r="C196" t="s">
        <v>12</v>
      </c>
      <c r="D196" t="s">
        <v>17</v>
      </c>
      <c r="E196">
        <v>934.27</v>
      </c>
      <c r="F196">
        <v>8</v>
      </c>
      <c r="G196">
        <v>0.15</v>
      </c>
      <c r="H196" s="33">
        <v>45746</v>
      </c>
      <c r="I196">
        <f>Table2[[#This Row],[Sales]]*(1-Table2[[#This Row],[Discount]])</f>
        <v>794.12950000000001</v>
      </c>
    </row>
    <row r="197" spans="1:9" ht="15.75" customHeight="1" x14ac:dyDescent="0.3">
      <c r="A197" t="s">
        <v>72</v>
      </c>
      <c r="B197" t="s">
        <v>38</v>
      </c>
      <c r="C197" t="s">
        <v>36</v>
      </c>
      <c r="D197" t="s">
        <v>17</v>
      </c>
      <c r="E197">
        <v>1465.35</v>
      </c>
      <c r="F197">
        <v>8</v>
      </c>
      <c r="G197">
        <v>0.2</v>
      </c>
      <c r="H197" s="33">
        <v>45746</v>
      </c>
      <c r="I197">
        <f>Table2[[#This Row],[Sales]]*(1-Table2[[#This Row],[Discount]])</f>
        <v>1172.28</v>
      </c>
    </row>
    <row r="198" spans="1:9" ht="15.75" customHeight="1" x14ac:dyDescent="0.3">
      <c r="A198" t="s">
        <v>54</v>
      </c>
      <c r="B198" t="s">
        <v>16</v>
      </c>
      <c r="C198" t="s">
        <v>22</v>
      </c>
      <c r="D198" t="s">
        <v>41</v>
      </c>
      <c r="E198">
        <v>740.8</v>
      </c>
      <c r="F198">
        <v>3</v>
      </c>
      <c r="G198">
        <v>0</v>
      </c>
      <c r="H198" s="33">
        <v>45749</v>
      </c>
      <c r="I198">
        <f>Table2[[#This Row],[Sales]]*(1-Table2[[#This Row],[Discount]])</f>
        <v>740.8</v>
      </c>
    </row>
    <row r="199" spans="1:9" ht="15.75" customHeight="1" x14ac:dyDescent="0.3">
      <c r="A199" t="s">
        <v>60</v>
      </c>
      <c r="B199" t="s">
        <v>45</v>
      </c>
      <c r="C199" t="s">
        <v>12</v>
      </c>
      <c r="D199" t="s">
        <v>41</v>
      </c>
      <c r="E199">
        <v>545.44000000000005</v>
      </c>
      <c r="F199">
        <v>17</v>
      </c>
      <c r="G199">
        <v>0</v>
      </c>
      <c r="H199" s="33">
        <v>45752</v>
      </c>
      <c r="I199">
        <f>Table2[[#This Row],[Sales]]*(1-Table2[[#This Row],[Discount]])</f>
        <v>545.44000000000005</v>
      </c>
    </row>
    <row r="200" spans="1:9" ht="15.75" customHeight="1" x14ac:dyDescent="0.3">
      <c r="A200" t="s">
        <v>37</v>
      </c>
      <c r="B200" t="s">
        <v>38</v>
      </c>
      <c r="C200" t="s">
        <v>20</v>
      </c>
      <c r="D200" t="s">
        <v>13</v>
      </c>
      <c r="E200">
        <v>997.61</v>
      </c>
      <c r="F200">
        <v>8</v>
      </c>
      <c r="G200">
        <v>0.05</v>
      </c>
      <c r="H200" s="33">
        <v>45752</v>
      </c>
      <c r="I200">
        <f>Table2[[#This Row],[Sales]]*(1-Table2[[#This Row],[Discount]])</f>
        <v>947.72949999999992</v>
      </c>
    </row>
    <row r="201" spans="1:9" ht="15.75" customHeight="1" x14ac:dyDescent="0.3">
      <c r="A201" t="s">
        <v>62</v>
      </c>
      <c r="B201" t="s">
        <v>38</v>
      </c>
      <c r="C201" t="s">
        <v>22</v>
      </c>
      <c r="D201" t="s">
        <v>17</v>
      </c>
      <c r="E201">
        <v>928.32</v>
      </c>
      <c r="F201">
        <v>2</v>
      </c>
      <c r="G201">
        <v>0.05</v>
      </c>
      <c r="H201" s="33">
        <v>45754</v>
      </c>
      <c r="I201">
        <f>Table2[[#This Row],[Sales]]*(1-Table2[[#This Row],[Discount]])</f>
        <v>881.904</v>
      </c>
    </row>
    <row r="202" spans="1:9" ht="15.75" customHeight="1" x14ac:dyDescent="0.3"/>
    <row r="203" spans="1:9" ht="15.75" customHeight="1" x14ac:dyDescent="0.3"/>
    <row r="204" spans="1:9" ht="15.75" customHeight="1" x14ac:dyDescent="0.3"/>
    <row r="205" spans="1:9" ht="15.75" customHeight="1" x14ac:dyDescent="0.3"/>
    <row r="206" spans="1:9" ht="15.75" customHeight="1" x14ac:dyDescent="0.3"/>
    <row r="207" spans="1:9" ht="15.75" customHeight="1" x14ac:dyDescent="0.3"/>
    <row r="208" spans="1:9"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B27CB-74C0-4BF7-8D76-BDDF6616554A}">
  <dimension ref="A1:O25"/>
  <sheetViews>
    <sheetView topLeftCell="D1" workbookViewId="0">
      <selection activeCell="O1" sqref="O1:O5"/>
    </sheetView>
  </sheetViews>
  <sheetFormatPr defaultRowHeight="14.4" x14ac:dyDescent="0.3"/>
  <cols>
    <col min="1" max="1" width="19.88671875" customWidth="1"/>
    <col min="2" max="3" width="10.44140625" customWidth="1"/>
    <col min="4" max="4" width="14.21875" customWidth="1"/>
    <col min="5" max="5" width="10.44140625" customWidth="1"/>
    <col min="6" max="6" width="17.77734375" customWidth="1"/>
    <col min="7" max="9" width="10.44140625" customWidth="1"/>
    <col min="11" max="11" width="14.5546875" bestFit="1" customWidth="1"/>
    <col min="12" max="12" width="21.33203125" customWidth="1"/>
    <col min="13" max="13" width="16.44140625" customWidth="1"/>
    <col min="14" max="14" width="4.33203125" customWidth="1"/>
    <col min="15" max="15" width="20.77734375" customWidth="1"/>
    <col min="16" max="16" width="14.88671875" customWidth="1"/>
  </cols>
  <sheetData>
    <row r="1" spans="1:15" x14ac:dyDescent="0.3">
      <c r="A1" t="s">
        <v>110</v>
      </c>
      <c r="B1" t="s">
        <v>111</v>
      </c>
      <c r="C1" t="s">
        <v>112</v>
      </c>
      <c r="D1" t="s">
        <v>113</v>
      </c>
      <c r="E1" t="s">
        <v>114</v>
      </c>
      <c r="F1" t="s">
        <v>115</v>
      </c>
      <c r="G1" t="s">
        <v>116</v>
      </c>
      <c r="H1" t="s">
        <v>117</v>
      </c>
      <c r="I1" t="s">
        <v>118</v>
      </c>
      <c r="K1" s="39" t="s">
        <v>137</v>
      </c>
      <c r="L1" s="39" t="s">
        <v>81</v>
      </c>
      <c r="M1" s="39" t="s">
        <v>138</v>
      </c>
      <c r="O1" s="6" t="s">
        <v>139</v>
      </c>
    </row>
    <row r="2" spans="1:15" x14ac:dyDescent="0.3">
      <c r="A2" s="18" t="s">
        <v>85</v>
      </c>
      <c r="K2" s="37">
        <v>45383</v>
      </c>
      <c r="L2" s="38">
        <f>SUMIFS( Dataset!$E$2:$E$201,
        Dataset!$H$2:$H$201,"&gt;="&amp;K2,
        Dataset!$H$2:$H$201,"&lt;"&amp;EDATE(K2,1))</f>
        <v>19029.96</v>
      </c>
      <c r="M2" s="40">
        <v>0</v>
      </c>
      <c r="O2" s="9" t="str">
        <f>INDEX(Dataset!$K$2:$K$28,MATCH(LARGE(Dataset!$L$2:$L$28,ROWS($M$2:M2)),Dataset!$L$2:$L$28,0))</f>
        <v>James Wilson</v>
      </c>
    </row>
    <row r="3" spans="1:15" ht="15" thickBot="1" x14ac:dyDescent="0.35">
      <c r="K3" s="37">
        <v>45413</v>
      </c>
      <c r="L3" s="38">
        <f>SUMIFS( Dataset!$E$2:$E$201,
        Dataset!$H$2:$H$201,"&gt;="&amp;K3,
        Dataset!$H$2:$H$201,"&lt;"&amp;EDATE(K3,1))</f>
        <v>18507.339999999997</v>
      </c>
      <c r="M3" s="40">
        <f>(L3-L2)/L2</f>
        <v>-2.7463010957458799E-2</v>
      </c>
      <c r="O3" s="9" t="str">
        <f>INDEX(Dataset!$K$2:$K$28,MATCH(LARGE(Dataset!$L$2:$L$28,ROWS($M$2:M3)),Dataset!$L$2:$L$28,0))</f>
        <v>Mary Davis</v>
      </c>
    </row>
    <row r="4" spans="1:15" x14ac:dyDescent="0.3">
      <c r="A4" s="17" t="s">
        <v>86</v>
      </c>
      <c r="B4" s="17"/>
      <c r="K4" s="37">
        <v>45444</v>
      </c>
      <c r="L4" s="38">
        <f>SUMIFS( Dataset!$E$2:$E$201,
        Dataset!$H$2:$H$201,"&gt;="&amp;K4,
        Dataset!$H$2:$H$201,"&lt;"&amp;EDATE(K4,1))</f>
        <v>20187.509999999998</v>
      </c>
      <c r="M4" s="40">
        <f t="shared" ref="M4:M14" si="0">(L4-L3)/L3</f>
        <v>9.0783980842195702E-2</v>
      </c>
      <c r="O4" s="9" t="str">
        <f>INDEX(Dataset!$K$2:$K$28,MATCH(LARGE(Dataset!$L$2:$L$28,ROWS($M$2:M4)),Dataset!$L$2:$L$28,0))</f>
        <v>David Brown</v>
      </c>
    </row>
    <row r="5" spans="1:15" x14ac:dyDescent="0.3">
      <c r="A5" s="14" t="s">
        <v>87</v>
      </c>
      <c r="B5" s="14">
        <v>0.96153771554023859</v>
      </c>
      <c r="K5" s="37">
        <v>45474</v>
      </c>
      <c r="L5" s="38">
        <f>SUMIFS( Dataset!$E$2:$E$201,
        Dataset!$H$2:$H$201,"&gt;="&amp;K5,
        Dataset!$H$2:$H$201,"&lt;"&amp;EDATE(K5,1))</f>
        <v>11609.039999999999</v>
      </c>
      <c r="M5" s="40">
        <f t="shared" si="0"/>
        <v>-0.42493947990614001</v>
      </c>
      <c r="O5" s="9" t="str">
        <f>INDEX(Dataset!$K$2:$K$28,MATCH(LARGE(Dataset!$L$2:$L$28,ROWS($M$2:M5)),Dataset!$L$2:$L$28,0))</f>
        <v>Emma Davis</v>
      </c>
    </row>
    <row r="6" spans="1:15" x14ac:dyDescent="0.3">
      <c r="A6" s="14" t="s">
        <v>88</v>
      </c>
      <c r="B6" s="14">
        <v>0.92455477840634082</v>
      </c>
      <c r="K6" s="37">
        <v>45505</v>
      </c>
      <c r="L6" s="38">
        <f>SUMIFS( Dataset!$E$2:$E$201,
        Dataset!$H$2:$H$201,"&gt;="&amp;K6,
        Dataset!$H$2:$H$201,"&lt;"&amp;EDATE(K6,1))</f>
        <v>10091.699999999999</v>
      </c>
      <c r="M6" s="40">
        <f t="shared" si="0"/>
        <v>-0.13070331396911375</v>
      </c>
    </row>
    <row r="7" spans="1:15" x14ac:dyDescent="0.3">
      <c r="A7" s="14" t="s">
        <v>89</v>
      </c>
      <c r="B7" s="14">
        <v>0.92417374193364554</v>
      </c>
      <c r="K7" s="37">
        <v>45536</v>
      </c>
      <c r="L7" s="38">
        <f>SUMIFS( Dataset!$E$2:$E$201,
        Dataset!$H$2:$H$201,"&gt;="&amp;K7,
        Dataset!$H$2:$H$201,"&lt;"&amp;EDATE(K7,1))</f>
        <v>20533.499999999996</v>
      </c>
      <c r="M7" s="40">
        <f t="shared" si="0"/>
        <v>1.0346918755016496</v>
      </c>
    </row>
    <row r="8" spans="1:15" x14ac:dyDescent="0.3">
      <c r="A8" s="14" t="s">
        <v>90</v>
      </c>
      <c r="B8" s="14">
        <v>74.780330924462504</v>
      </c>
      <c r="K8" s="37">
        <v>45566</v>
      </c>
      <c r="L8" s="38">
        <f>SUMIFS( Dataset!$E$2:$E$201,
        Dataset!$H$2:$H$201,"&gt;="&amp;K8,
        Dataset!$H$2:$H$201,"&lt;"&amp;EDATE(K8,1))</f>
        <v>14215.240000000002</v>
      </c>
      <c r="M8" s="40">
        <f t="shared" si="0"/>
        <v>-0.30770496992719193</v>
      </c>
    </row>
    <row r="9" spans="1:15" ht="15" thickBot="1" x14ac:dyDescent="0.35">
      <c r="A9" s="15" t="s">
        <v>91</v>
      </c>
      <c r="B9" s="15">
        <v>200</v>
      </c>
      <c r="K9" s="37">
        <v>45597</v>
      </c>
      <c r="L9" s="38">
        <f>SUMIFS( Dataset!$E$2:$E$201,
        Dataset!$H$2:$H$201,"&gt;="&amp;K9,
        Dataset!$H$2:$H$201,"&lt;"&amp;EDATE(K9,1))</f>
        <v>20135.030000000002</v>
      </c>
      <c r="M9" s="40">
        <f t="shared" si="0"/>
        <v>0.4164396802305132</v>
      </c>
    </row>
    <row r="10" spans="1:15" x14ac:dyDescent="0.3">
      <c r="K10" s="37">
        <v>45627</v>
      </c>
      <c r="L10" s="38">
        <f>SUMIFS( Dataset!$E$2:$E$201,
        Dataset!$H$2:$H$201,"&gt;="&amp;K10,
        Dataset!$H$2:$H$201,"&lt;"&amp;EDATE(K10,1))</f>
        <v>11120.04</v>
      </c>
      <c r="M10" s="40">
        <f t="shared" si="0"/>
        <v>-0.44772667336477773</v>
      </c>
    </row>
    <row r="11" spans="1:15" ht="15" thickBot="1" x14ac:dyDescent="0.35">
      <c r="A11" t="s">
        <v>92</v>
      </c>
      <c r="K11" s="37">
        <v>45658</v>
      </c>
      <c r="L11" s="38">
        <f>SUMIFS( Dataset!$E$2:$E$201,
        Dataset!$H$2:$H$201,"&gt;="&amp;K11,
        Dataset!$H$2:$H$201,"&lt;"&amp;EDATE(K11,1))</f>
        <v>14914.650000000001</v>
      </c>
      <c r="M11" s="40">
        <f t="shared" si="0"/>
        <v>0.34124067899036337</v>
      </c>
    </row>
    <row r="12" spans="1:15" x14ac:dyDescent="0.3">
      <c r="A12" s="16"/>
      <c r="B12" s="16" t="s">
        <v>97</v>
      </c>
      <c r="C12" s="16" t="s">
        <v>98</v>
      </c>
      <c r="D12" s="16" t="s">
        <v>99</v>
      </c>
      <c r="E12" s="16" t="s">
        <v>100</v>
      </c>
      <c r="F12" s="16" t="s">
        <v>101</v>
      </c>
      <c r="K12" s="37">
        <v>45689</v>
      </c>
      <c r="L12" s="38">
        <f>SUMIFS( Dataset!$E$2:$E$201,
        Dataset!$H$2:$H$201,"&gt;="&amp;K12,
        Dataset!$H$2:$H$201,"&lt;"&amp;EDATE(K12,1))</f>
        <v>14006.359999999999</v>
      </c>
      <c r="M12" s="40">
        <f t="shared" si="0"/>
        <v>-6.0899183018039482E-2</v>
      </c>
    </row>
    <row r="13" spans="1:15" x14ac:dyDescent="0.3">
      <c r="A13" s="14" t="s">
        <v>93</v>
      </c>
      <c r="B13" s="14">
        <v>1</v>
      </c>
      <c r="C13" s="14">
        <v>13568781.990545621</v>
      </c>
      <c r="D13" s="14">
        <v>13568781.990545621</v>
      </c>
      <c r="E13" s="14">
        <v>2426.4206832131676</v>
      </c>
      <c r="F13" s="14">
        <v>4.523325944787338E-113</v>
      </c>
      <c r="K13" s="37">
        <v>45717</v>
      </c>
      <c r="L13" s="38">
        <f>SUMIFS( Dataset!$E$2:$E$201,
        Dataset!$H$2:$H$201,"&gt;="&amp;K13,
        Dataset!$H$2:$H$201,"&lt;"&amp;EDATE(K13,1))</f>
        <v>17655.219999999998</v>
      </c>
      <c r="M13" s="40">
        <f t="shared" si="0"/>
        <v>0.26051450912299834</v>
      </c>
    </row>
    <row r="14" spans="1:15" x14ac:dyDescent="0.3">
      <c r="A14" s="14" t="s">
        <v>94</v>
      </c>
      <c r="B14" s="14">
        <v>198</v>
      </c>
      <c r="C14" s="14">
        <v>1107235.3828480805</v>
      </c>
      <c r="D14" s="14">
        <v>5592.0978931721238</v>
      </c>
      <c r="E14" s="14"/>
      <c r="F14" s="14"/>
      <c r="K14" s="37">
        <v>45748</v>
      </c>
      <c r="L14" s="38">
        <f>SUMIFS( Dataset!$E$2:$E$201,
        Dataset!$H$2:$H$201,"&gt;="&amp;K14,
        Dataset!$H$2:$H$201,"&lt;"&amp;EDATE(K14,1))</f>
        <v>3212.17</v>
      </c>
      <c r="M14" s="40">
        <f t="shared" si="0"/>
        <v>-0.81806117397574196</v>
      </c>
    </row>
    <row r="15" spans="1:15" ht="15" thickBot="1" x14ac:dyDescent="0.35">
      <c r="A15" s="15" t="s">
        <v>95</v>
      </c>
      <c r="B15" s="15">
        <v>199</v>
      </c>
      <c r="C15" s="15">
        <v>14676017.373393701</v>
      </c>
      <c r="D15" s="15"/>
      <c r="E15" s="15"/>
      <c r="F15" s="15"/>
    </row>
    <row r="16" spans="1:15" ht="15" thickBot="1" x14ac:dyDescent="0.35"/>
    <row r="17" spans="1:12" x14ac:dyDescent="0.3">
      <c r="A17" s="16"/>
      <c r="B17" s="16" t="s">
        <v>102</v>
      </c>
      <c r="C17" s="16" t="s">
        <v>90</v>
      </c>
      <c r="D17" s="16" t="s">
        <v>103</v>
      </c>
      <c r="E17" s="16" t="s">
        <v>104</v>
      </c>
      <c r="F17" s="16" t="s">
        <v>105</v>
      </c>
      <c r="G17" s="16" t="s">
        <v>106</v>
      </c>
      <c r="H17" s="16" t="s">
        <v>107</v>
      </c>
      <c r="I17" s="16" t="s">
        <v>108</v>
      </c>
    </row>
    <row r="18" spans="1:12" x14ac:dyDescent="0.3">
      <c r="A18" s="14" t="s">
        <v>96</v>
      </c>
      <c r="B18" s="14">
        <v>28.068277985926557</v>
      </c>
      <c r="C18" s="14">
        <v>18.079990669805518</v>
      </c>
      <c r="D18" s="14">
        <v>1.5524498047890021</v>
      </c>
      <c r="E18" s="14">
        <v>0.1221515521279582</v>
      </c>
      <c r="F18" s="14">
        <v>-7.58577961404729</v>
      </c>
      <c r="G18" s="14">
        <v>63.722335585900403</v>
      </c>
      <c r="H18" s="14">
        <v>-7.58577961404729</v>
      </c>
      <c r="I18" s="14">
        <v>63.722335585900403</v>
      </c>
    </row>
    <row r="19" spans="1:12" x14ac:dyDescent="0.3">
      <c r="A19" s="14" t="s">
        <v>109</v>
      </c>
      <c r="B19" s="14">
        <v>0.87251972823996438</v>
      </c>
      <c r="C19" s="14">
        <v>1.7713003390717123E-2</v>
      </c>
      <c r="D19" s="14">
        <v>49.25871174942737</v>
      </c>
      <c r="E19" s="14">
        <v>4.5233259447863091E-113</v>
      </c>
      <c r="F19" s="14">
        <v>0.83758937596849647</v>
      </c>
      <c r="G19" s="14">
        <v>0.90745008051143228</v>
      </c>
      <c r="H19" s="14">
        <v>0.83758937596849647</v>
      </c>
      <c r="I19" s="14">
        <v>0.90745008051143228</v>
      </c>
    </row>
    <row r="25" spans="1:12" x14ac:dyDescent="0.3">
      <c r="L25" s="18"/>
    </row>
  </sheetData>
  <phoneticPr fontId="11" type="noConversion"/>
  <conditionalFormatting sqref="M2:M14">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Instructions</vt:lpstr>
      <vt:lpstr>Dashboard</vt:lpstr>
      <vt:lpstr>Descriptive-analysis</vt:lpstr>
      <vt:lpstr>Dataset</vt:lpstr>
      <vt:lpstr>Regression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patelujjval404@gmail.com</cp:lastModifiedBy>
  <dcterms:modified xsi:type="dcterms:W3CDTF">2026-08-24T20:12:32Z</dcterms:modified>
</cp:coreProperties>
</file>